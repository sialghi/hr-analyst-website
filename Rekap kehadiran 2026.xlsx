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Suci\Dropbox\HR\01. ABSENSI\02. ABSENSI 2026\"/>
    </mc:Choice>
  </mc:AlternateContent>
  <xr:revisionPtr revIDLastSave="0" documentId="13_ncr:1_{CAD95C07-F177-4168-A0AB-51473046C9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sensi" sheetId="1" r:id="rId1"/>
    <sheet name="Rekap" sheetId="2" r:id="rId2"/>
    <sheet name="Setting" sheetId="3" r:id="rId3"/>
    <sheet name="Test" sheetId="4" r:id="rId4"/>
  </sheets>
  <definedNames>
    <definedName name="_xlnm._FilterDatabase" localSheetId="0" hidden="1">Absensi!$A$3:$C$149</definedName>
    <definedName name="_xlnm._FilterDatabase" localSheetId="1" hidden="1">Rekap!$A$5:$D$157</definedName>
  </definedNames>
  <calcPr calcId="191029"/>
</workbook>
</file>

<file path=xl/calcChain.xml><?xml version="1.0" encoding="utf-8"?>
<calcChain xmlns="http://schemas.openxmlformats.org/spreadsheetml/2006/main">
  <c r="M34" i="2" l="1"/>
  <c r="M33" i="2"/>
  <c r="B69" i="2" l="1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C150" i="4"/>
  <c r="D150" i="4" s="1"/>
  <c r="D149" i="2"/>
  <c r="D150" i="2"/>
  <c r="D148" i="2"/>
  <c r="AC150" i="4" l="1"/>
  <c r="AD150" i="4" s="1"/>
  <c r="AE150" i="4" s="1"/>
  <c r="AF150" i="4" s="1"/>
  <c r="AG150" i="4" s="1"/>
  <c r="AH150" i="4" s="1"/>
  <c r="AI150" i="4" s="1"/>
  <c r="AJ150" i="4" s="1"/>
  <c r="AK150" i="4" s="1"/>
  <c r="AL150" i="4" s="1"/>
  <c r="AM150" i="4" s="1"/>
  <c r="AN150" i="4" s="1"/>
  <c r="M2" i="2" l="1"/>
  <c r="E8" i="4"/>
  <c r="F8" i="4"/>
  <c r="G8" i="4"/>
  <c r="H8" i="4"/>
  <c r="I8" i="4"/>
  <c r="J8" i="4"/>
  <c r="K8" i="4"/>
  <c r="L8" i="4"/>
  <c r="M8" i="4"/>
  <c r="N8" i="4"/>
  <c r="O8" i="4"/>
  <c r="P8" i="4"/>
  <c r="Q8" i="4"/>
  <c r="AC8" i="4" s="1"/>
  <c r="AD8" i="4" s="1"/>
  <c r="AE8" i="4" s="1"/>
  <c r="R8" i="4"/>
  <c r="S8" i="4"/>
  <c r="T8" i="4"/>
  <c r="U8" i="4"/>
  <c r="V8" i="4"/>
  <c r="W8" i="4"/>
  <c r="X8" i="4"/>
  <c r="Y8" i="4"/>
  <c r="Z8" i="4"/>
  <c r="AA8" i="4"/>
  <c r="AB8" i="4"/>
  <c r="E9" i="4"/>
  <c r="F9" i="4"/>
  <c r="G9" i="4"/>
  <c r="H9" i="4"/>
  <c r="I9" i="4"/>
  <c r="J9" i="4"/>
  <c r="K9" i="4"/>
  <c r="L9" i="4"/>
  <c r="M9" i="4"/>
  <c r="N9" i="4"/>
  <c r="O9" i="4"/>
  <c r="P9" i="4"/>
  <c r="Q9" i="4"/>
  <c r="AC9" i="4" s="1"/>
  <c r="R9" i="4"/>
  <c r="S9" i="4"/>
  <c r="T9" i="4"/>
  <c r="U9" i="4"/>
  <c r="V9" i="4"/>
  <c r="W9" i="4"/>
  <c r="X9" i="4"/>
  <c r="Y9" i="4"/>
  <c r="Z9" i="4"/>
  <c r="AA9" i="4"/>
  <c r="AB9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 s="1"/>
  <c r="AE11" i="4" s="1"/>
  <c r="AF11" i="4" s="1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AC12" i="4" s="1"/>
  <c r="R12" i="4"/>
  <c r="S12" i="4"/>
  <c r="T12" i="4"/>
  <c r="U12" i="4"/>
  <c r="V12" i="4"/>
  <c r="W12" i="4"/>
  <c r="X12" i="4"/>
  <c r="Y12" i="4"/>
  <c r="Z12" i="4"/>
  <c r="AA12" i="4"/>
  <c r="AB12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AC14" i="4" s="1"/>
  <c r="R14" i="4"/>
  <c r="S14" i="4"/>
  <c r="T14" i="4"/>
  <c r="U14" i="4"/>
  <c r="V14" i="4"/>
  <c r="W14" i="4"/>
  <c r="X14" i="4"/>
  <c r="Y14" i="4"/>
  <c r="Z14" i="4"/>
  <c r="AA14" i="4"/>
  <c r="AB14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 s="1"/>
  <c r="AH17" i="4" s="1"/>
  <c r="AI17" i="4" s="1"/>
  <c r="AJ17" i="4" s="1"/>
  <c r="AK17" i="4" s="1"/>
  <c r="AL17" i="4" s="1"/>
  <c r="AM17" i="4" s="1"/>
  <c r="AN17" i="4" s="1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 s="1"/>
  <c r="AH18" i="4" s="1"/>
  <c r="AI18" i="4" s="1"/>
  <c r="AJ18" i="4" s="1"/>
  <c r="AK18" i="4" s="1"/>
  <c r="AL18" i="4" s="1"/>
  <c r="AM18" i="4" s="1"/>
  <c r="AN18" i="4" s="1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 s="1"/>
  <c r="AH20" i="4" s="1"/>
  <c r="AI20" i="4" s="1"/>
  <c r="AJ20" i="4" s="1"/>
  <c r="AK20" i="4" s="1"/>
  <c r="AL20" i="4" s="1"/>
  <c r="AM20" i="4" s="1"/>
  <c r="AN20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 s="1"/>
  <c r="AH21" i="4" s="1"/>
  <c r="AI21" i="4" s="1"/>
  <c r="AJ21" i="4" s="1"/>
  <c r="AK21" i="4" s="1"/>
  <c r="AL21" i="4" s="1"/>
  <c r="AM21" i="4" s="1"/>
  <c r="AN21" i="4" s="1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 s="1"/>
  <c r="AH22" i="4" s="1"/>
  <c r="AI22" i="4" s="1"/>
  <c r="AJ22" i="4" s="1"/>
  <c r="AK22" i="4" s="1"/>
  <c r="AL22" i="4" s="1"/>
  <c r="AM22" i="4" s="1"/>
  <c r="AN22" i="4" s="1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 s="1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 s="1"/>
  <c r="AH32" i="4" s="1"/>
  <c r="AI32" i="4" s="1"/>
  <c r="AJ32" i="4" s="1"/>
  <c r="AK32" i="4" s="1"/>
  <c r="AL32" i="4" s="1"/>
  <c r="AM32" i="4" s="1"/>
  <c r="AN32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 s="1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 s="1"/>
  <c r="AH38" i="4" s="1"/>
  <c r="AI38" i="4" s="1"/>
  <c r="AJ38" i="4" s="1"/>
  <c r="AK38" i="4" s="1"/>
  <c r="AL38" i="4" s="1"/>
  <c r="AM38" i="4" s="1"/>
  <c r="AN38" i="4" s="1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AC39" i="4" s="1"/>
  <c r="R39" i="4"/>
  <c r="S39" i="4"/>
  <c r="T39" i="4"/>
  <c r="U39" i="4"/>
  <c r="V39" i="4"/>
  <c r="W39" i="4"/>
  <c r="X39" i="4"/>
  <c r="Y39" i="4"/>
  <c r="Z39" i="4"/>
  <c r="AA39" i="4"/>
  <c r="AB39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 s="1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 s="1"/>
  <c r="AE41" i="4" s="1"/>
  <c r="AF41" i="4" s="1"/>
  <c r="AG41" i="4" s="1"/>
  <c r="AH41" i="4" s="1"/>
  <c r="AI41" i="4" s="1"/>
  <c r="AJ41" i="4" s="1"/>
  <c r="AK41" i="4" s="1"/>
  <c r="AL41" i="4" s="1"/>
  <c r="AM41" i="4" s="1"/>
  <c r="AN41" i="4" s="1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 s="1"/>
  <c r="AH42" i="4" s="1"/>
  <c r="AI42" i="4" s="1"/>
  <c r="AJ42" i="4" s="1"/>
  <c r="AK42" i="4" s="1"/>
  <c r="AL42" i="4" s="1"/>
  <c r="AM42" i="4" s="1"/>
  <c r="AN42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 s="1"/>
  <c r="AF45" i="4" s="1"/>
  <c r="AG45" i="4" s="1"/>
  <c r="AH45" i="4" s="1"/>
  <c r="AI45" i="4" s="1"/>
  <c r="AJ45" i="4" s="1"/>
  <c r="AK45" i="4" s="1"/>
  <c r="AL45" i="4" s="1"/>
  <c r="AM45" i="4" s="1"/>
  <c r="AN45" i="4" s="1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 s="1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 s="1"/>
  <c r="AF48" i="4" s="1"/>
  <c r="AG48" i="4" s="1"/>
  <c r="AH48" i="4" s="1"/>
  <c r="AI48" i="4" s="1"/>
  <c r="AJ48" i="4" s="1"/>
  <c r="AK48" i="4" s="1"/>
  <c r="AL48" i="4" s="1"/>
  <c r="AM48" i="4" s="1"/>
  <c r="AN48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 s="1"/>
  <c r="AE50" i="4" s="1"/>
  <c r="AF50" i="4" s="1"/>
  <c r="AG50" i="4" s="1"/>
  <c r="AH50" i="4" s="1"/>
  <c r="AI50" i="4" s="1"/>
  <c r="AJ50" i="4" s="1"/>
  <c r="AK50" i="4" s="1"/>
  <c r="AL50" i="4" s="1"/>
  <c r="AM50" i="4" s="1"/>
  <c r="AN50" i="4" s="1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 s="1"/>
  <c r="AE51" i="4"/>
  <c r="AF51" i="4" s="1"/>
  <c r="AG51" i="4" s="1"/>
  <c r="AH51" i="4" s="1"/>
  <c r="AI51" i="4" s="1"/>
  <c r="AJ51" i="4" s="1"/>
  <c r="AK51" i="4" s="1"/>
  <c r="AL51" i="4" s="1"/>
  <c r="AM51" i="4" s="1"/>
  <c r="AN51" i="4" s="1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 s="1"/>
  <c r="AE52" i="4"/>
  <c r="AF52" i="4" s="1"/>
  <c r="AG52" i="4" s="1"/>
  <c r="AH52" i="4" s="1"/>
  <c r="AI52" i="4" s="1"/>
  <c r="AJ52" i="4" s="1"/>
  <c r="AK52" i="4" s="1"/>
  <c r="AL52" i="4" s="1"/>
  <c r="AM52" i="4"/>
  <c r="AN52" i="4" s="1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 s="1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 s="1"/>
  <c r="AE55" i="4"/>
  <c r="AF55" i="4" s="1"/>
  <c r="AG55" i="4" s="1"/>
  <c r="AH55" i="4" s="1"/>
  <c r="AI55" i="4" s="1"/>
  <c r="AJ55" i="4" s="1"/>
  <c r="AK55" i="4" s="1"/>
  <c r="AL55" i="4" s="1"/>
  <c r="AM55" i="4" s="1"/>
  <c r="AN55" i="4" s="1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AC56" i="4" s="1"/>
  <c r="R56" i="4"/>
  <c r="S56" i="4"/>
  <c r="T56" i="4"/>
  <c r="U56" i="4"/>
  <c r="V56" i="4"/>
  <c r="W56" i="4"/>
  <c r="X56" i="4"/>
  <c r="Y56" i="4"/>
  <c r="Z56" i="4"/>
  <c r="AA56" i="4"/>
  <c r="AB56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 s="1"/>
  <c r="AE57" i="4"/>
  <c r="AF57" i="4" s="1"/>
  <c r="AG57" i="4" s="1"/>
  <c r="AH57" i="4" s="1"/>
  <c r="AI57" i="4" s="1"/>
  <c r="AJ57" i="4" s="1"/>
  <c r="AK57" i="4" s="1"/>
  <c r="AL57" i="4" s="1"/>
  <c r="AM57" i="4" s="1"/>
  <c r="AN57" i="4" s="1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 s="1"/>
  <c r="AE58" i="4"/>
  <c r="AF58" i="4" s="1"/>
  <c r="AG58" i="4" s="1"/>
  <c r="AH58" i="4" s="1"/>
  <c r="AI58" i="4" s="1"/>
  <c r="AJ58" i="4" s="1"/>
  <c r="AK58" i="4" s="1"/>
  <c r="AL58" i="4" s="1"/>
  <c r="AM58" i="4"/>
  <c r="AN58" i="4" s="1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 s="1"/>
  <c r="AE61" i="4"/>
  <c r="AF61" i="4" s="1"/>
  <c r="AG61" i="4"/>
  <c r="AH61" i="4" s="1"/>
  <c r="AI61" i="4"/>
  <c r="AJ61" i="4" s="1"/>
  <c r="AK61" i="4" s="1"/>
  <c r="AL61" i="4" s="1"/>
  <c r="AM61" i="4" s="1"/>
  <c r="AN61" i="4" s="1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 s="1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 s="1"/>
  <c r="AG65" i="4"/>
  <c r="AH65" i="4" s="1"/>
  <c r="AI65" i="4" s="1"/>
  <c r="AJ65" i="4" s="1"/>
  <c r="AK65" i="4" s="1"/>
  <c r="AL65" i="4" s="1"/>
  <c r="AM65" i="4" s="1"/>
  <c r="AN65" i="4" s="1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AC66" i="4" s="1"/>
  <c r="R66" i="4"/>
  <c r="S66" i="4"/>
  <c r="T66" i="4"/>
  <c r="U66" i="4"/>
  <c r="V66" i="4"/>
  <c r="W66" i="4"/>
  <c r="X66" i="4"/>
  <c r="Y66" i="4"/>
  <c r="Z66" i="4"/>
  <c r="AA66" i="4"/>
  <c r="AB66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 s="1"/>
  <c r="AH67" i="4" s="1"/>
  <c r="AI67" i="4" s="1"/>
  <c r="AJ67" i="4" s="1"/>
  <c r="AK67" i="4" s="1"/>
  <c r="AL67" i="4" s="1"/>
  <c r="AM67" i="4" s="1"/>
  <c r="AN67" i="4" s="1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 s="1"/>
  <c r="AH72" i="4" s="1"/>
  <c r="AI72" i="4" s="1"/>
  <c r="AJ72" i="4" s="1"/>
  <c r="AK72" i="4" s="1"/>
  <c r="AL72" i="4" s="1"/>
  <c r="AM72" i="4" s="1"/>
  <c r="AN72" i="4" s="1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AC74" i="4" s="1"/>
  <c r="R74" i="4"/>
  <c r="S74" i="4"/>
  <c r="T74" i="4"/>
  <c r="U74" i="4"/>
  <c r="V74" i="4"/>
  <c r="W74" i="4"/>
  <c r="X74" i="4"/>
  <c r="Y74" i="4"/>
  <c r="Z74" i="4"/>
  <c r="AA74" i="4"/>
  <c r="AB74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 s="1"/>
  <c r="AH75" i="4" s="1"/>
  <c r="AI75" i="4" s="1"/>
  <c r="AJ75" i="4" s="1"/>
  <c r="AK75" i="4" s="1"/>
  <c r="AL75" i="4" s="1"/>
  <c r="AM75" i="4" s="1"/>
  <c r="AN75" i="4" s="1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 s="1"/>
  <c r="AH76" i="4" s="1"/>
  <c r="AI76" i="4" s="1"/>
  <c r="AJ76" i="4" s="1"/>
  <c r="AK76" i="4" s="1"/>
  <c r="AL76" i="4" s="1"/>
  <c r="AM76" i="4" s="1"/>
  <c r="AN76" i="4" s="1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 s="1"/>
  <c r="AH78" i="4" s="1"/>
  <c r="AI78" i="4" s="1"/>
  <c r="AJ78" i="4" s="1"/>
  <c r="AK78" i="4" s="1"/>
  <c r="AL78" i="4" s="1"/>
  <c r="AM78" i="4" s="1"/>
  <c r="AN78" i="4" s="1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 s="1"/>
  <c r="AH79" i="4" s="1"/>
  <c r="AI79" i="4" s="1"/>
  <c r="AJ79" i="4" s="1"/>
  <c r="AK79" i="4" s="1"/>
  <c r="AL79" i="4" s="1"/>
  <c r="AM79" i="4" s="1"/>
  <c r="AN79" i="4" s="1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 s="1"/>
  <c r="AH80" i="4" s="1"/>
  <c r="AI80" i="4" s="1"/>
  <c r="AJ80" i="4" s="1"/>
  <c r="AK80" i="4" s="1"/>
  <c r="AL80" i="4" s="1"/>
  <c r="AM80" i="4" s="1"/>
  <c r="AN80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 s="1"/>
  <c r="AH81" i="4" s="1"/>
  <c r="AI81" i="4" s="1"/>
  <c r="AJ81" i="4" s="1"/>
  <c r="AK81" i="4" s="1"/>
  <c r="AL81" i="4" s="1"/>
  <c r="AM81" i="4" s="1"/>
  <c r="AN81" i="4" s="1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 s="1"/>
  <c r="AH82" i="4" s="1"/>
  <c r="AI82" i="4" s="1"/>
  <c r="AJ82" i="4" s="1"/>
  <c r="AK82" i="4" s="1"/>
  <c r="AL82" i="4" s="1"/>
  <c r="AM82" i="4" s="1"/>
  <c r="AN82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 s="1"/>
  <c r="AE83" i="4" s="1"/>
  <c r="AF83" i="4" s="1"/>
  <c r="AG83" i="4" s="1"/>
  <c r="AH83" i="4" s="1"/>
  <c r="AI83" i="4" s="1"/>
  <c r="AJ83" i="4" s="1"/>
  <c r="AK83" i="4" s="1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E85" i="4"/>
  <c r="AC85" i="4" s="1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 s="1"/>
  <c r="AE86" i="4" s="1"/>
  <c r="AF86" i="4" s="1"/>
  <c r="AG86" i="4" s="1"/>
  <c r="AH86" i="4" s="1"/>
  <c r="AI86" i="4" s="1"/>
  <c r="AJ86" i="4" s="1"/>
  <c r="AK86" i="4" s="1"/>
  <c r="AL86" i="4" s="1"/>
  <c r="AM86" i="4" s="1"/>
  <c r="AN86" i="4" s="1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 s="1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 s="1"/>
  <c r="AE94" i="4" s="1"/>
  <c r="AF94" i="4" s="1"/>
  <c r="AG94" i="4" s="1"/>
  <c r="AH94" i="4" s="1"/>
  <c r="AI94" i="4" s="1"/>
  <c r="AJ94" i="4" s="1"/>
  <c r="AK94" i="4" s="1"/>
  <c r="AL94" i="4" s="1"/>
  <c r="AM94" i="4" s="1"/>
  <c r="AN94" i="4" s="1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 s="1"/>
  <c r="AE95" i="4" s="1"/>
  <c r="AF95" i="4" s="1"/>
  <c r="AG95" i="4" s="1"/>
  <c r="AH95" i="4" s="1"/>
  <c r="AI95" i="4" s="1"/>
  <c r="AJ95" i="4" s="1"/>
  <c r="AK95" i="4" s="1"/>
  <c r="AL95" i="4" s="1"/>
  <c r="AM95" i="4" s="1"/>
  <c r="AN95" i="4" s="1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 s="1"/>
  <c r="AE96" i="4" s="1"/>
  <c r="AF96" i="4" s="1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 s="1"/>
  <c r="AE101" i="4" s="1"/>
  <c r="AF101" i="4" s="1"/>
  <c r="AG101" i="4" s="1"/>
  <c r="AH101" i="4" s="1"/>
  <c r="AI101" i="4" s="1"/>
  <c r="AJ101" i="4" s="1"/>
  <c r="AK101" i="4" s="1"/>
  <c r="AL101" i="4" s="1"/>
  <c r="AM101" i="4" s="1"/>
  <c r="AN101" i="4" s="1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 s="1"/>
  <c r="AE102" i="4" s="1"/>
  <c r="AF102" i="4" s="1"/>
  <c r="AG102" i="4" s="1"/>
  <c r="AH102" i="4" s="1"/>
  <c r="AI102" i="4" s="1"/>
  <c r="AJ102" i="4" s="1"/>
  <c r="AK102" i="4" s="1"/>
  <c r="AL102" i="4" s="1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 s="1"/>
  <c r="AE103" i="4" s="1"/>
  <c r="AF103" i="4" s="1"/>
  <c r="AG103" i="4" s="1"/>
  <c r="AH103" i="4" s="1"/>
  <c r="AI103" i="4" s="1"/>
  <c r="AJ103" i="4" s="1"/>
  <c r="AK103" i="4" s="1"/>
  <c r="AL103" i="4" s="1"/>
  <c r="AM103" i="4" s="1"/>
  <c r="AN103" i="4" s="1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 s="1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 s="1"/>
  <c r="AE108" i="4" s="1"/>
  <c r="AF108" i="4" s="1"/>
  <c r="AG108" i="4" s="1"/>
  <c r="AH108" i="4" s="1"/>
  <c r="AI108" i="4" s="1"/>
  <c r="AJ108" i="4" s="1"/>
  <c r="AK108" i="4" s="1"/>
  <c r="AL108" i="4" s="1"/>
  <c r="AM108" i="4" s="1"/>
  <c r="AN108" i="4" s="1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 s="1"/>
  <c r="AE110" i="4" s="1"/>
  <c r="AF110" i="4" s="1"/>
  <c r="AG110" i="4" s="1"/>
  <c r="AH110" i="4" s="1"/>
  <c r="AI110" i="4" s="1"/>
  <c r="AJ110" i="4" s="1"/>
  <c r="AK110" i="4" s="1"/>
  <c r="AL110" i="4" s="1"/>
  <c r="AM110" i="4" s="1"/>
  <c r="AN110" i="4" s="1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 s="1"/>
  <c r="AE111" i="4" s="1"/>
  <c r="AF111" i="4" s="1"/>
  <c r="AG111" i="4" s="1"/>
  <c r="AH111" i="4" s="1"/>
  <c r="AI111" i="4" s="1"/>
  <c r="AJ111" i="4" s="1"/>
  <c r="AK111" i="4" s="1"/>
  <c r="AL111" i="4" s="1"/>
  <c r="AM111" i="4" s="1"/>
  <c r="AN111" i="4" s="1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 s="1"/>
  <c r="AE113" i="4" s="1"/>
  <c r="AF113" i="4" s="1"/>
  <c r="AG113" i="4" s="1"/>
  <c r="AH113" i="4" s="1"/>
  <c r="AI113" i="4" s="1"/>
  <c r="AJ113" i="4" s="1"/>
  <c r="AK113" i="4" s="1"/>
  <c r="AL113" i="4" s="1"/>
  <c r="AM113" i="4" s="1"/>
  <c r="AN113" i="4" s="1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 s="1"/>
  <c r="AE114" i="4" s="1"/>
  <c r="AF114" i="4" s="1"/>
  <c r="AG114" i="4" s="1"/>
  <c r="AH114" i="4" s="1"/>
  <c r="AI114" i="4" s="1"/>
  <c r="AJ114" i="4" s="1"/>
  <c r="AK114" i="4" s="1"/>
  <c r="AL114" i="4" s="1"/>
  <c r="AM114" i="4" s="1"/>
  <c r="AN114" i="4" s="1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 s="1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 s="1"/>
  <c r="AE119" i="4" s="1"/>
  <c r="AF119" i="4" s="1"/>
  <c r="AG119" i="4" s="1"/>
  <c r="AH119" i="4" s="1"/>
  <c r="AI119" i="4" s="1"/>
  <c r="AJ119" i="4" s="1"/>
  <c r="AK119" i="4" s="1"/>
  <c r="AL119" i="4" s="1"/>
  <c r="AM119" i="4" s="1"/>
  <c r="AN119" i="4" s="1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 s="1"/>
  <c r="AE121" i="4" s="1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 s="1"/>
  <c r="AE127" i="4" s="1"/>
  <c r="AF127" i="4" s="1"/>
  <c r="AG127" i="4" s="1"/>
  <c r="AH127" i="4" s="1"/>
  <c r="AI127" i="4" s="1"/>
  <c r="AJ127" i="4" s="1"/>
  <c r="AK127" i="4" s="1"/>
  <c r="AL127" i="4" s="1"/>
  <c r="AM127" i="4" s="1"/>
  <c r="AN127" i="4" s="1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 s="1"/>
  <c r="AE129" i="4" s="1"/>
  <c r="AF129" i="4" s="1"/>
  <c r="AG129" i="4" s="1"/>
  <c r="AH129" i="4" s="1"/>
  <c r="AI129" i="4" s="1"/>
  <c r="AJ129" i="4" s="1"/>
  <c r="AK129" i="4" s="1"/>
  <c r="AL129" i="4" s="1"/>
  <c r="AM129" i="4" s="1"/>
  <c r="AN129" i="4" s="1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 s="1"/>
  <c r="AE130" i="4" s="1"/>
  <c r="AF130" i="4" s="1"/>
  <c r="AG130" i="4" s="1"/>
  <c r="AH130" i="4" s="1"/>
  <c r="AI130" i="4" s="1"/>
  <c r="AJ130" i="4" s="1"/>
  <c r="AK130" i="4" s="1"/>
  <c r="AL130" i="4" s="1"/>
  <c r="AM130" i="4" s="1"/>
  <c r="AN130" i="4" s="1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 s="1"/>
  <c r="AE131" i="4" s="1"/>
  <c r="AF131" i="4" s="1"/>
  <c r="AG131" i="4" s="1"/>
  <c r="AH131" i="4" s="1"/>
  <c r="AI131" i="4" s="1"/>
  <c r="AJ131" i="4" s="1"/>
  <c r="AK131" i="4" s="1"/>
  <c r="AL131" i="4" s="1"/>
  <c r="AM131" i="4" s="1"/>
  <c r="AN131" i="4" s="1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 s="1"/>
  <c r="AE132" i="4" s="1"/>
  <c r="AF132" i="4" s="1"/>
  <c r="AG132" i="4" s="1"/>
  <c r="AH132" i="4" s="1"/>
  <c r="AI132" i="4" s="1"/>
  <c r="AJ132" i="4" s="1"/>
  <c r="AK132" i="4" s="1"/>
  <c r="AL132" i="4" s="1"/>
  <c r="AM132" i="4" s="1"/>
  <c r="AN132" i="4" s="1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 s="1"/>
  <c r="AE133" i="4" s="1"/>
  <c r="AF133" i="4" s="1"/>
  <c r="AG133" i="4" s="1"/>
  <c r="AH133" i="4" s="1"/>
  <c r="AI133" i="4" s="1"/>
  <c r="AJ133" i="4" s="1"/>
  <c r="AK133" i="4" s="1"/>
  <c r="AL133" i="4" s="1"/>
  <c r="AM133" i="4" s="1"/>
  <c r="AN133" i="4" s="1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 s="1"/>
  <c r="AF134" i="4" s="1"/>
  <c r="AG134" i="4" s="1"/>
  <c r="AH134" i="4" s="1"/>
  <c r="AI134" i="4" s="1"/>
  <c r="AJ134" i="4" s="1"/>
  <c r="AK134" i="4" s="1"/>
  <c r="AL134" i="4" s="1"/>
  <c r="AM134" i="4" s="1"/>
  <c r="AN134" i="4" s="1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 s="1"/>
  <c r="AE135" i="4" s="1"/>
  <c r="AF135" i="4" s="1"/>
  <c r="AG135" i="4" s="1"/>
  <c r="AH135" i="4" s="1"/>
  <c r="AI135" i="4" s="1"/>
  <c r="AJ135" i="4" s="1"/>
  <c r="AK135" i="4" s="1"/>
  <c r="AL135" i="4" s="1"/>
  <c r="AM135" i="4" s="1"/>
  <c r="AN135" i="4" s="1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 s="1"/>
  <c r="AF136" i="4" s="1"/>
  <c r="AG136" i="4" s="1"/>
  <c r="AH136" i="4" s="1"/>
  <c r="AI136" i="4" s="1"/>
  <c r="AJ136" i="4" s="1"/>
  <c r="AK136" i="4" s="1"/>
  <c r="AL136" i="4" s="1"/>
  <c r="AM136" i="4" s="1"/>
  <c r="AN136" i="4" s="1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 s="1"/>
  <c r="AE139" i="4" s="1"/>
  <c r="AF139" i="4" s="1"/>
  <c r="AG139" i="4" s="1"/>
  <c r="AH139" i="4" s="1"/>
  <c r="AI139" i="4" s="1"/>
  <c r="AJ139" i="4" s="1"/>
  <c r="AK139" i="4" s="1"/>
  <c r="AL139" i="4" s="1"/>
  <c r="AM139" i="4" s="1"/>
  <c r="AN139" i="4" s="1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 s="1"/>
  <c r="AE140" i="4" s="1"/>
  <c r="AF140" i="4" s="1"/>
  <c r="AG140" i="4" s="1"/>
  <c r="AH140" i="4" s="1"/>
  <c r="AI140" i="4" s="1"/>
  <c r="AJ140" i="4" s="1"/>
  <c r="AK140" i="4" s="1"/>
  <c r="AL140" i="4" s="1"/>
  <c r="AM140" i="4" s="1"/>
  <c r="AN140" i="4" s="1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 s="1"/>
  <c r="AE141" i="4" s="1"/>
  <c r="AF141" i="4" s="1"/>
  <c r="AG141" i="4" s="1"/>
  <c r="AH141" i="4" s="1"/>
  <c r="AI141" i="4" s="1"/>
  <c r="AJ141" i="4" s="1"/>
  <c r="AK141" i="4" s="1"/>
  <c r="AL141" i="4" s="1"/>
  <c r="AM141" i="4" s="1"/>
  <c r="AN141" i="4" s="1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 s="1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 s="1"/>
  <c r="AE145" i="4" s="1"/>
  <c r="AF145" i="4" s="1"/>
  <c r="AG145" i="4" s="1"/>
  <c r="AH145" i="4" s="1"/>
  <c r="AI145" i="4" s="1"/>
  <c r="AJ145" i="4" s="1"/>
  <c r="AK145" i="4" s="1"/>
  <c r="AL145" i="4" s="1"/>
  <c r="AM145" i="4" s="1"/>
  <c r="AN145" i="4" s="1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 s="1"/>
  <c r="AE146" i="4" s="1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 s="1"/>
  <c r="AE147" i="4" s="1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 s="1"/>
  <c r="AE148" i="4" s="1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AC149" i="4" s="1"/>
  <c r="AD149" i="4" s="1"/>
  <c r="AE149" i="4" s="1"/>
  <c r="AF149" i="4" s="1"/>
  <c r="R149" i="4"/>
  <c r="S149" i="4"/>
  <c r="T149" i="4"/>
  <c r="U149" i="4"/>
  <c r="V149" i="4"/>
  <c r="W149" i="4"/>
  <c r="X149" i="4"/>
  <c r="Y149" i="4"/>
  <c r="Z149" i="4"/>
  <c r="AA149" i="4"/>
  <c r="AB149" i="4"/>
  <c r="C149" i="4"/>
  <c r="D149" i="4" s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4" i="2"/>
  <c r="D45" i="2"/>
  <c r="D46" i="2"/>
  <c r="D47" i="2"/>
  <c r="D48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AF121" i="4" l="1"/>
  <c r="AG121" i="4" s="1"/>
  <c r="AH121" i="4" s="1"/>
  <c r="AI121" i="4" s="1"/>
  <c r="AJ121" i="4" s="1"/>
  <c r="AK121" i="4" s="1"/>
  <c r="AL121" i="4" s="1"/>
  <c r="AM121" i="4" s="1"/>
  <c r="AN121" i="4" s="1"/>
  <c r="AD120" i="4"/>
  <c r="AE120" i="4" s="1"/>
  <c r="AD123" i="4"/>
  <c r="AE123" i="4" s="1"/>
  <c r="AF123" i="4" s="1"/>
  <c r="AG123" i="4" s="1"/>
  <c r="AH123" i="4" s="1"/>
  <c r="AI123" i="4" s="1"/>
  <c r="AJ123" i="4" s="1"/>
  <c r="AK123" i="4" s="1"/>
  <c r="AL123" i="4" s="1"/>
  <c r="AM123" i="4" s="1"/>
  <c r="AN123" i="4" s="1"/>
  <c r="AD46" i="4"/>
  <c r="AD49" i="4"/>
  <c r="AE35" i="4"/>
  <c r="AG11" i="4"/>
  <c r="AH11" i="4" s="1"/>
  <c r="AI11" i="4" s="1"/>
  <c r="AJ11" i="4" s="1"/>
  <c r="AK11" i="4" s="1"/>
  <c r="AL11" i="4" s="1"/>
  <c r="AM11" i="4" s="1"/>
  <c r="AN11" i="4" s="1"/>
  <c r="AE107" i="4"/>
  <c r="AD100" i="4"/>
  <c r="AD91" i="4"/>
  <c r="AE91" i="4"/>
  <c r="AF91" i="4" s="1"/>
  <c r="AG91" i="4" s="1"/>
  <c r="AH91" i="4" s="1"/>
  <c r="AI91" i="4" s="1"/>
  <c r="AJ91" i="4" s="1"/>
  <c r="AK91" i="4" s="1"/>
  <c r="AL91" i="4" s="1"/>
  <c r="AM91" i="4" s="1"/>
  <c r="AN91" i="4" s="1"/>
  <c r="AD16" i="4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D85" i="4"/>
  <c r="AD93" i="4"/>
  <c r="AE93" i="4" s="1"/>
  <c r="AF93" i="4" s="1"/>
  <c r="AG93" i="4" s="1"/>
  <c r="AH93" i="4" s="1"/>
  <c r="AI93" i="4" s="1"/>
  <c r="AJ93" i="4" s="1"/>
  <c r="AK93" i="4" s="1"/>
  <c r="AL93" i="4" s="1"/>
  <c r="AM93" i="4" s="1"/>
  <c r="AN93" i="4" s="1"/>
  <c r="F74" i="2"/>
  <c r="M12" i="2"/>
  <c r="M9" i="2"/>
  <c r="M11" i="2"/>
  <c r="M10" i="2"/>
  <c r="AD124" i="4"/>
  <c r="AE124" i="4" s="1"/>
  <c r="AF124" i="4" s="1"/>
  <c r="AG124" i="4" s="1"/>
  <c r="AH124" i="4" s="1"/>
  <c r="AI124" i="4" s="1"/>
  <c r="AJ124" i="4" s="1"/>
  <c r="AK124" i="4" s="1"/>
  <c r="AL124" i="4" s="1"/>
  <c r="AM124" i="4" s="1"/>
  <c r="AN124" i="4" s="1"/>
  <c r="AD118" i="4"/>
  <c r="AE118" i="4" s="1"/>
  <c r="AF118" i="4" s="1"/>
  <c r="AG118" i="4" s="1"/>
  <c r="AH118" i="4" s="1"/>
  <c r="AI118" i="4" s="1"/>
  <c r="AJ118" i="4" s="1"/>
  <c r="AK118" i="4" s="1"/>
  <c r="AL118" i="4" s="1"/>
  <c r="AM118" i="4" s="1"/>
  <c r="AN118" i="4" s="1"/>
  <c r="AE40" i="4"/>
  <c r="AF40" i="4" s="1"/>
  <c r="AG40" i="4" s="1"/>
  <c r="AH40" i="4" s="1"/>
  <c r="AI40" i="4" s="1"/>
  <c r="AJ40" i="4" s="1"/>
  <c r="AK40" i="4" s="1"/>
  <c r="AL40" i="4" s="1"/>
  <c r="AM40" i="4" s="1"/>
  <c r="AN40" i="4" s="1"/>
  <c r="AD34" i="4"/>
  <c r="AE34" i="4" s="1"/>
  <c r="AF34" i="4" s="1"/>
  <c r="AG34" i="4" s="1"/>
  <c r="AH34" i="4" s="1"/>
  <c r="AI34" i="4" s="1"/>
  <c r="AJ34" i="4" s="1"/>
  <c r="AK34" i="4" s="1"/>
  <c r="AL34" i="4" s="1"/>
  <c r="AM34" i="4" s="1"/>
  <c r="AN34" i="4" s="1"/>
  <c r="AD33" i="4"/>
  <c r="AE33" i="4" s="1"/>
  <c r="AD29" i="4"/>
  <c r="AD25" i="4"/>
  <c r="AD15" i="4"/>
  <c r="AD12" i="4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D27" i="4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D105" i="4"/>
  <c r="AE105" i="4" s="1"/>
  <c r="AF105" i="4" s="1"/>
  <c r="AG105" i="4" s="1"/>
  <c r="AH105" i="4" s="1"/>
  <c r="AI105" i="4" s="1"/>
  <c r="AJ105" i="4" s="1"/>
  <c r="AK105" i="4" s="1"/>
  <c r="AL105" i="4" s="1"/>
  <c r="AM105" i="4" s="1"/>
  <c r="AN105" i="4" s="1"/>
  <c r="AF107" i="4"/>
  <c r="AG107" i="4" s="1"/>
  <c r="AH107" i="4" s="1"/>
  <c r="AI107" i="4" s="1"/>
  <c r="AJ107" i="4" s="1"/>
  <c r="AK107" i="4" s="1"/>
  <c r="AL107" i="4" s="1"/>
  <c r="AM107" i="4" s="1"/>
  <c r="AN107" i="4" s="1"/>
  <c r="AD97" i="4"/>
  <c r="AE97" i="4" s="1"/>
  <c r="AF97" i="4" s="1"/>
  <c r="AG97" i="4" s="1"/>
  <c r="AH97" i="4" s="1"/>
  <c r="AI97" i="4" s="1"/>
  <c r="AJ97" i="4" s="1"/>
  <c r="AK97" i="4" s="1"/>
  <c r="AL97" i="4" s="1"/>
  <c r="AM97" i="4" s="1"/>
  <c r="AN97" i="4" s="1"/>
  <c r="AD99" i="4"/>
  <c r="AE99" i="4" s="1"/>
  <c r="AF99" i="4" s="1"/>
  <c r="AG99" i="4" s="1"/>
  <c r="AH99" i="4" s="1"/>
  <c r="AI99" i="4" s="1"/>
  <c r="AJ99" i="4" s="1"/>
  <c r="AK99" i="4" s="1"/>
  <c r="AL99" i="4" s="1"/>
  <c r="AM99" i="4" s="1"/>
  <c r="AN99" i="4" s="1"/>
  <c r="AD77" i="4"/>
  <c r="AE77" i="4" s="1"/>
  <c r="AF77" i="4" s="1"/>
  <c r="AG77" i="4" s="1"/>
  <c r="AH77" i="4" s="1"/>
  <c r="AI77" i="4" s="1"/>
  <c r="AJ77" i="4" s="1"/>
  <c r="AK77" i="4" s="1"/>
  <c r="AL77" i="4" s="1"/>
  <c r="AM77" i="4" s="1"/>
  <c r="AN77" i="4" s="1"/>
  <c r="AL83" i="4"/>
  <c r="AM83" i="4" s="1"/>
  <c r="AN83" i="4" s="1"/>
  <c r="AD74" i="4"/>
  <c r="AE74" i="4" s="1"/>
  <c r="AF74" i="4" s="1"/>
  <c r="AG74" i="4" s="1"/>
  <c r="AH74" i="4" s="1"/>
  <c r="AI74" i="4" s="1"/>
  <c r="AJ74" i="4" s="1"/>
  <c r="AK74" i="4" s="1"/>
  <c r="AL74" i="4" s="1"/>
  <c r="AM74" i="4" s="1"/>
  <c r="AN74" i="4" s="1"/>
  <c r="AE73" i="4"/>
  <c r="AF73" i="4" s="1"/>
  <c r="AG73" i="4" s="1"/>
  <c r="AH73" i="4" s="1"/>
  <c r="AI73" i="4" s="1"/>
  <c r="AJ73" i="4" s="1"/>
  <c r="AK73" i="4" s="1"/>
  <c r="AL73" i="4" s="1"/>
  <c r="AM73" i="4" s="1"/>
  <c r="AN73" i="4" s="1"/>
  <c r="AD70" i="4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AD69" i="4"/>
  <c r="AC68" i="4"/>
  <c r="AD68" i="4" s="1"/>
  <c r="AE68" i="4" s="1"/>
  <c r="AF68" i="4" s="1"/>
  <c r="AG68" i="4" s="1"/>
  <c r="AH68" i="4" s="1"/>
  <c r="AI68" i="4" s="1"/>
  <c r="AJ68" i="4" s="1"/>
  <c r="AK68" i="4" s="1"/>
  <c r="AL68" i="4" s="1"/>
  <c r="AM68" i="4" s="1"/>
  <c r="AN68" i="4" s="1"/>
  <c r="AE46" i="4"/>
  <c r="AF46" i="4" s="1"/>
  <c r="AG46" i="4" s="1"/>
  <c r="AH46" i="4" s="1"/>
  <c r="AI46" i="4" s="1"/>
  <c r="AJ46" i="4" s="1"/>
  <c r="AK46" i="4" s="1"/>
  <c r="AL46" i="4" s="1"/>
  <c r="AM46" i="4" s="1"/>
  <c r="AN46" i="4" s="1"/>
  <c r="AE53" i="4"/>
  <c r="AF53" i="4" s="1"/>
  <c r="AG53" i="4" s="1"/>
  <c r="AH53" i="4" s="1"/>
  <c r="AI53" i="4" s="1"/>
  <c r="AJ53" i="4" s="1"/>
  <c r="AK53" i="4" s="1"/>
  <c r="AL53" i="4" s="1"/>
  <c r="AM53" i="4" s="1"/>
  <c r="AN53" i="4" s="1"/>
  <c r="AD26" i="4"/>
  <c r="AD9" i="4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D10" i="4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E26" i="4"/>
  <c r="AF26" i="4" s="1"/>
  <c r="AG26" i="4" s="1"/>
  <c r="AH26" i="4" s="1"/>
  <c r="AI26" i="4" s="1"/>
  <c r="AJ26" i="4" s="1"/>
  <c r="AK26" i="4" s="1"/>
  <c r="AL26" i="4" s="1"/>
  <c r="AM26" i="4" s="1"/>
  <c r="AN26" i="4" s="1"/>
  <c r="AD39" i="4"/>
  <c r="AE39" i="4" s="1"/>
  <c r="AF39" i="4" s="1"/>
  <c r="AG39" i="4" s="1"/>
  <c r="AH39" i="4" s="1"/>
  <c r="AI39" i="4" s="1"/>
  <c r="AJ39" i="4" s="1"/>
  <c r="AK39" i="4" s="1"/>
  <c r="AL39" i="4" s="1"/>
  <c r="AM39" i="4" s="1"/>
  <c r="AN39" i="4" s="1"/>
  <c r="AE23" i="4"/>
  <c r="AF23" i="4" s="1"/>
  <c r="AG23" i="4" s="1"/>
  <c r="AH23" i="4" s="1"/>
  <c r="AI23" i="4" s="1"/>
  <c r="AJ23" i="4" s="1"/>
  <c r="AK23" i="4" s="1"/>
  <c r="AL23" i="4" s="1"/>
  <c r="AM23" i="4" s="1"/>
  <c r="AN23" i="4" s="1"/>
  <c r="AE62" i="4"/>
  <c r="AF62" i="4" s="1"/>
  <c r="AG62" i="4" s="1"/>
  <c r="AH62" i="4" s="1"/>
  <c r="AI62" i="4" s="1"/>
  <c r="AJ62" i="4" s="1"/>
  <c r="AK62" i="4" s="1"/>
  <c r="AL62" i="4" s="1"/>
  <c r="AM62" i="4" s="1"/>
  <c r="AN62" i="4" s="1"/>
  <c r="AC54" i="4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C28" i="4"/>
  <c r="AD138" i="4"/>
  <c r="AD144" i="4"/>
  <c r="AE144" i="4" s="1"/>
  <c r="AF144" i="4" s="1"/>
  <c r="AG144" i="4" s="1"/>
  <c r="AH144" i="4" s="1"/>
  <c r="AI144" i="4" s="1"/>
  <c r="AJ144" i="4" s="1"/>
  <c r="AK144" i="4" s="1"/>
  <c r="AL144" i="4" s="1"/>
  <c r="AM144" i="4" s="1"/>
  <c r="AN144" i="4" s="1"/>
  <c r="AD128" i="4"/>
  <c r="AE128" i="4" s="1"/>
  <c r="AF128" i="4"/>
  <c r="AG128" i="4" s="1"/>
  <c r="AH128" i="4" s="1"/>
  <c r="AI128" i="4" s="1"/>
  <c r="AJ128" i="4" s="1"/>
  <c r="AK128" i="4" s="1"/>
  <c r="AL128" i="4" s="1"/>
  <c r="AM128" i="4" s="1"/>
  <c r="AN128" i="4" s="1"/>
  <c r="AD125" i="4"/>
  <c r="AE125" i="4" s="1"/>
  <c r="AF125" i="4" s="1"/>
  <c r="AG125" i="4" s="1"/>
  <c r="AH125" i="4" s="1"/>
  <c r="AI125" i="4" s="1"/>
  <c r="AJ125" i="4" s="1"/>
  <c r="AK125" i="4" s="1"/>
  <c r="AL125" i="4" s="1"/>
  <c r="AM125" i="4" s="1"/>
  <c r="AN125" i="4" s="1"/>
  <c r="AD122" i="4"/>
  <c r="AE122" i="4" s="1"/>
  <c r="AF122" i="4" s="1"/>
  <c r="AG122" i="4" s="1"/>
  <c r="AH122" i="4" s="1"/>
  <c r="AI122" i="4" s="1"/>
  <c r="AJ122" i="4" s="1"/>
  <c r="AK122" i="4" s="1"/>
  <c r="AL122" i="4" s="1"/>
  <c r="AM122" i="4" s="1"/>
  <c r="AN122" i="4" s="1"/>
  <c r="AF146" i="4"/>
  <c r="AG146" i="4" s="1"/>
  <c r="AH146" i="4" s="1"/>
  <c r="AI146" i="4" s="1"/>
  <c r="AJ146" i="4" s="1"/>
  <c r="AK146" i="4" s="1"/>
  <c r="AL146" i="4" s="1"/>
  <c r="AM146" i="4" s="1"/>
  <c r="AN146" i="4" s="1"/>
  <c r="AD142" i="4"/>
  <c r="AE142" i="4" s="1"/>
  <c r="AF142" i="4" s="1"/>
  <c r="AG142" i="4" s="1"/>
  <c r="AH142" i="4" s="1"/>
  <c r="AI142" i="4" s="1"/>
  <c r="AJ142" i="4" s="1"/>
  <c r="AK142" i="4" s="1"/>
  <c r="AL142" i="4" s="1"/>
  <c r="AM142" i="4" s="1"/>
  <c r="AN142" i="4" s="1"/>
  <c r="AE138" i="4"/>
  <c r="AF138" i="4" s="1"/>
  <c r="AG138" i="4" s="1"/>
  <c r="AH138" i="4" s="1"/>
  <c r="AI138" i="4" s="1"/>
  <c r="AJ138" i="4" s="1"/>
  <c r="AK138" i="4" s="1"/>
  <c r="AL138" i="4" s="1"/>
  <c r="AM138" i="4" s="1"/>
  <c r="AN138" i="4" s="1"/>
  <c r="AF120" i="4"/>
  <c r="AG120" i="4" s="1"/>
  <c r="AH120" i="4" s="1"/>
  <c r="AI120" i="4" s="1"/>
  <c r="AJ120" i="4" s="1"/>
  <c r="AK120" i="4" s="1"/>
  <c r="AL120" i="4" s="1"/>
  <c r="AM120" i="4" s="1"/>
  <c r="AN120" i="4" s="1"/>
  <c r="AD116" i="4"/>
  <c r="AE116" i="4" s="1"/>
  <c r="AF116" i="4" s="1"/>
  <c r="AG116" i="4" s="1"/>
  <c r="AH116" i="4" s="1"/>
  <c r="AI116" i="4" s="1"/>
  <c r="AJ116" i="4" s="1"/>
  <c r="AK116" i="4" s="1"/>
  <c r="AL116" i="4" s="1"/>
  <c r="AM116" i="4" s="1"/>
  <c r="AN116" i="4" s="1"/>
  <c r="AD112" i="4"/>
  <c r="AE112" i="4" s="1"/>
  <c r="AF112" i="4" s="1"/>
  <c r="AG112" i="4" s="1"/>
  <c r="AH112" i="4" s="1"/>
  <c r="AI112" i="4" s="1"/>
  <c r="AJ112" i="4" s="1"/>
  <c r="AK112" i="4" s="1"/>
  <c r="AL112" i="4" s="1"/>
  <c r="AM112" i="4" s="1"/>
  <c r="AN112" i="4" s="1"/>
  <c r="AD109" i="4"/>
  <c r="AE109" i="4" s="1"/>
  <c r="AF109" i="4" s="1"/>
  <c r="AG109" i="4" s="1"/>
  <c r="AH109" i="4" s="1"/>
  <c r="AI109" i="4" s="1"/>
  <c r="AJ109" i="4" s="1"/>
  <c r="AK109" i="4" s="1"/>
  <c r="AL109" i="4" s="1"/>
  <c r="AM109" i="4" s="1"/>
  <c r="AN109" i="4" s="1"/>
  <c r="F7" i="2"/>
  <c r="J150" i="2"/>
  <c r="I150" i="2"/>
  <c r="E150" i="2"/>
  <c r="H150" i="2"/>
  <c r="G150" i="2"/>
  <c r="F150" i="2"/>
  <c r="AD104" i="4"/>
  <c r="AE104" i="4" s="1"/>
  <c r="AF104" i="4" s="1"/>
  <c r="AG104" i="4" s="1"/>
  <c r="AH104" i="4" s="1"/>
  <c r="AI104" i="4" s="1"/>
  <c r="AJ104" i="4" s="1"/>
  <c r="AK104" i="4" s="1"/>
  <c r="AL104" i="4" s="1"/>
  <c r="AM104" i="4" s="1"/>
  <c r="AN104" i="4" s="1"/>
  <c r="AM102" i="4"/>
  <c r="AN102" i="4" s="1"/>
  <c r="AE100" i="4"/>
  <c r="AF100" i="4" s="1"/>
  <c r="AG100" i="4" s="1"/>
  <c r="AH100" i="4" s="1"/>
  <c r="AI100" i="4" s="1"/>
  <c r="AJ100" i="4" s="1"/>
  <c r="AK100" i="4" s="1"/>
  <c r="AL100" i="4" s="1"/>
  <c r="AM100" i="4" s="1"/>
  <c r="AN100" i="4" s="1"/>
  <c r="AD84" i="4"/>
  <c r="AE84" i="4" s="1"/>
  <c r="AF84" i="4" s="1"/>
  <c r="AG84" i="4" s="1"/>
  <c r="AH84" i="4" s="1"/>
  <c r="AI84" i="4" s="1"/>
  <c r="AJ84" i="4" s="1"/>
  <c r="AK84" i="4" s="1"/>
  <c r="AL84" i="4" s="1"/>
  <c r="AM84" i="4" s="1"/>
  <c r="AN84" i="4" s="1"/>
  <c r="AE69" i="4"/>
  <c r="AF69" i="4" s="1"/>
  <c r="AG69" i="4" s="1"/>
  <c r="AH69" i="4" s="1"/>
  <c r="AI69" i="4" s="1"/>
  <c r="AJ69" i="4" s="1"/>
  <c r="AK69" i="4" s="1"/>
  <c r="AL69" i="4" s="1"/>
  <c r="AM69" i="4" s="1"/>
  <c r="AN69" i="4" s="1"/>
  <c r="AD66" i="4"/>
  <c r="AE66" i="4" s="1"/>
  <c r="AF66" i="4" s="1"/>
  <c r="AG66" i="4" s="1"/>
  <c r="AH66" i="4" s="1"/>
  <c r="AI66" i="4" s="1"/>
  <c r="AJ66" i="4" s="1"/>
  <c r="AK66" i="4" s="1"/>
  <c r="AL66" i="4" s="1"/>
  <c r="AM66" i="4" s="1"/>
  <c r="AN66" i="4" s="1"/>
  <c r="AD43" i="4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D87" i="4"/>
  <c r="AE87" i="4" s="1"/>
  <c r="AF87" i="4" s="1"/>
  <c r="AG87" i="4" s="1"/>
  <c r="AH87" i="4" s="1"/>
  <c r="AI87" i="4" s="1"/>
  <c r="AJ87" i="4" s="1"/>
  <c r="AK87" i="4" s="1"/>
  <c r="AL87" i="4" s="1"/>
  <c r="AM87" i="4" s="1"/>
  <c r="AN87" i="4" s="1"/>
  <c r="AE92" i="4"/>
  <c r="AF92" i="4" s="1"/>
  <c r="AG92" i="4" s="1"/>
  <c r="AH92" i="4" s="1"/>
  <c r="AI92" i="4" s="1"/>
  <c r="AJ92" i="4" s="1"/>
  <c r="AK92" i="4" s="1"/>
  <c r="AL92" i="4" s="1"/>
  <c r="AM92" i="4" s="1"/>
  <c r="AN92" i="4" s="1"/>
  <c r="AD90" i="4"/>
  <c r="AE90" i="4" s="1"/>
  <c r="AF90" i="4" s="1"/>
  <c r="AG90" i="4" s="1"/>
  <c r="AH90" i="4" s="1"/>
  <c r="AI90" i="4" s="1"/>
  <c r="AJ90" i="4" s="1"/>
  <c r="AK90" i="4" s="1"/>
  <c r="AL90" i="4" s="1"/>
  <c r="AM90" i="4" s="1"/>
  <c r="AN90" i="4" s="1"/>
  <c r="AD89" i="4"/>
  <c r="AE89" i="4" s="1"/>
  <c r="AF89" i="4" s="1"/>
  <c r="AG89" i="4" s="1"/>
  <c r="AH89" i="4" s="1"/>
  <c r="AI89" i="4" s="1"/>
  <c r="AJ89" i="4" s="1"/>
  <c r="AK89" i="4" s="1"/>
  <c r="AL89" i="4" s="1"/>
  <c r="AM89" i="4" s="1"/>
  <c r="AN89" i="4" s="1"/>
  <c r="AD137" i="4"/>
  <c r="AE137" i="4" s="1"/>
  <c r="AF137" i="4" s="1"/>
  <c r="AG137" i="4" s="1"/>
  <c r="AH137" i="4" s="1"/>
  <c r="AI137" i="4" s="1"/>
  <c r="AJ137" i="4" s="1"/>
  <c r="AK137" i="4" s="1"/>
  <c r="AL137" i="4" s="1"/>
  <c r="AM137" i="4" s="1"/>
  <c r="AN137" i="4" s="1"/>
  <c r="AE117" i="4"/>
  <c r="AF117" i="4" s="1"/>
  <c r="AG117" i="4" s="1"/>
  <c r="AH117" i="4" s="1"/>
  <c r="AI117" i="4" s="1"/>
  <c r="AJ117" i="4" s="1"/>
  <c r="AK117" i="4" s="1"/>
  <c r="AL117" i="4" s="1"/>
  <c r="AM117" i="4" s="1"/>
  <c r="AN117" i="4" s="1"/>
  <c r="AE143" i="4"/>
  <c r="AF143" i="4" s="1"/>
  <c r="AG143" i="4" s="1"/>
  <c r="AH143" i="4" s="1"/>
  <c r="AI143" i="4" s="1"/>
  <c r="AJ143" i="4" s="1"/>
  <c r="AK143" i="4" s="1"/>
  <c r="AL143" i="4" s="1"/>
  <c r="AM143" i="4" s="1"/>
  <c r="AN143" i="4" s="1"/>
  <c r="AD115" i="4"/>
  <c r="AE115" i="4" s="1"/>
  <c r="AF115" i="4" s="1"/>
  <c r="AG115" i="4" s="1"/>
  <c r="AH115" i="4" s="1"/>
  <c r="AI115" i="4" s="1"/>
  <c r="AJ115" i="4" s="1"/>
  <c r="AK115" i="4" s="1"/>
  <c r="AL115" i="4" s="1"/>
  <c r="AM115" i="4" s="1"/>
  <c r="AN115" i="4" s="1"/>
  <c r="AD126" i="4"/>
  <c r="AE126" i="4" s="1"/>
  <c r="AF126" i="4" s="1"/>
  <c r="AG126" i="4" s="1"/>
  <c r="AH126" i="4" s="1"/>
  <c r="AI126" i="4" s="1"/>
  <c r="AJ126" i="4" s="1"/>
  <c r="AK126" i="4" s="1"/>
  <c r="AL126" i="4" s="1"/>
  <c r="AM126" i="4" s="1"/>
  <c r="AN126" i="4" s="1"/>
  <c r="AG96" i="4"/>
  <c r="AH96" i="4" s="1"/>
  <c r="AI96" i="4" s="1"/>
  <c r="AJ96" i="4" s="1"/>
  <c r="AK96" i="4" s="1"/>
  <c r="AL96" i="4" s="1"/>
  <c r="AM96" i="4" s="1"/>
  <c r="AN96" i="4" s="1"/>
  <c r="AD106" i="4"/>
  <c r="AE106" i="4" s="1"/>
  <c r="AF106" i="4" s="1"/>
  <c r="AG106" i="4" s="1"/>
  <c r="AH106" i="4" s="1"/>
  <c r="AI106" i="4" s="1"/>
  <c r="AJ106" i="4" s="1"/>
  <c r="AK106" i="4" s="1"/>
  <c r="AL106" i="4" s="1"/>
  <c r="AM106" i="4" s="1"/>
  <c r="AN106" i="4" s="1"/>
  <c r="AD98" i="4"/>
  <c r="AE98" i="4" s="1"/>
  <c r="AF98" i="4" s="1"/>
  <c r="AG98" i="4" s="1"/>
  <c r="AH98" i="4" s="1"/>
  <c r="AI98" i="4" s="1"/>
  <c r="AJ98" i="4" s="1"/>
  <c r="AK98" i="4" s="1"/>
  <c r="AL98" i="4" s="1"/>
  <c r="AM98" i="4" s="1"/>
  <c r="AN98" i="4" s="1"/>
  <c r="AD71" i="4"/>
  <c r="AE71" i="4" s="1"/>
  <c r="AF71" i="4" s="1"/>
  <c r="AG71" i="4" s="1"/>
  <c r="AH71" i="4" s="1"/>
  <c r="AI71" i="4" s="1"/>
  <c r="AJ71" i="4" s="1"/>
  <c r="AK71" i="4" s="1"/>
  <c r="AL71" i="4" s="1"/>
  <c r="AM71" i="4" s="1"/>
  <c r="AN71" i="4" s="1"/>
  <c r="AE25" i="4"/>
  <c r="AF25" i="4" s="1"/>
  <c r="AG25" i="4" s="1"/>
  <c r="AH25" i="4" s="1"/>
  <c r="AI25" i="4" s="1"/>
  <c r="AJ25" i="4" s="1"/>
  <c r="AK25" i="4" s="1"/>
  <c r="AL25" i="4" s="1"/>
  <c r="AM25" i="4" s="1"/>
  <c r="AN25" i="4" s="1"/>
  <c r="AD64" i="4"/>
  <c r="AE64" i="4" s="1"/>
  <c r="AF64" i="4" s="1"/>
  <c r="AG64" i="4" s="1"/>
  <c r="AH64" i="4" s="1"/>
  <c r="AI64" i="4" s="1"/>
  <c r="AJ64" i="4" s="1"/>
  <c r="AK64" i="4" s="1"/>
  <c r="AL64" i="4" s="1"/>
  <c r="AM64" i="4" s="1"/>
  <c r="AN64" i="4" s="1"/>
  <c r="AF148" i="4"/>
  <c r="AG148" i="4" s="1"/>
  <c r="AH148" i="4" s="1"/>
  <c r="AI148" i="4" s="1"/>
  <c r="AJ148" i="4" s="1"/>
  <c r="AK148" i="4" s="1"/>
  <c r="AL148" i="4" s="1"/>
  <c r="AM148" i="4" s="1"/>
  <c r="AN148" i="4" s="1"/>
  <c r="AF33" i="4"/>
  <c r="AG33" i="4" s="1"/>
  <c r="AH33" i="4" s="1"/>
  <c r="AI33" i="4" s="1"/>
  <c r="AJ33" i="4" s="1"/>
  <c r="AK33" i="4" s="1"/>
  <c r="AL33" i="4" s="1"/>
  <c r="AM33" i="4" s="1"/>
  <c r="AN33" i="4" s="1"/>
  <c r="AF147" i="4"/>
  <c r="AG147" i="4" s="1"/>
  <c r="AH147" i="4" s="1"/>
  <c r="AI147" i="4" s="1"/>
  <c r="AJ147" i="4" s="1"/>
  <c r="AK147" i="4" s="1"/>
  <c r="AL147" i="4" s="1"/>
  <c r="AM147" i="4" s="1"/>
  <c r="AN147" i="4" s="1"/>
  <c r="AD37" i="4"/>
  <c r="AE37" i="4" s="1"/>
  <c r="AF37" i="4" s="1"/>
  <c r="AG37" i="4" s="1"/>
  <c r="AH37" i="4" s="1"/>
  <c r="AI37" i="4" s="1"/>
  <c r="AJ37" i="4" s="1"/>
  <c r="AK37" i="4" s="1"/>
  <c r="AL37" i="4" s="1"/>
  <c r="AM37" i="4" s="1"/>
  <c r="AN37" i="4" s="1"/>
  <c r="AD30" i="4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D60" i="4"/>
  <c r="AE60" i="4" s="1"/>
  <c r="AF60" i="4" s="1"/>
  <c r="AG60" i="4" s="1"/>
  <c r="AH60" i="4" s="1"/>
  <c r="AI60" i="4" s="1"/>
  <c r="AJ60" i="4" s="1"/>
  <c r="AK60" i="4" s="1"/>
  <c r="AL60" i="4" s="1"/>
  <c r="AM60" i="4" s="1"/>
  <c r="AN60" i="4" s="1"/>
  <c r="AD36" i="4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E29" i="4"/>
  <c r="AF29" i="4" s="1"/>
  <c r="AG29" i="4" s="1"/>
  <c r="AH29" i="4" s="1"/>
  <c r="AI29" i="4" s="1"/>
  <c r="AJ29" i="4" s="1"/>
  <c r="AK29" i="4" s="1"/>
  <c r="AL29" i="4" s="1"/>
  <c r="AM29" i="4" s="1"/>
  <c r="AN29" i="4" s="1"/>
  <c r="AE15" i="4"/>
  <c r="AF15" i="4" s="1"/>
  <c r="AG15" i="4" s="1"/>
  <c r="AH15" i="4" s="1"/>
  <c r="AI15" i="4" s="1"/>
  <c r="AJ15" i="4" s="1"/>
  <c r="AK15" i="4" s="1"/>
  <c r="AL15" i="4" s="1"/>
  <c r="AM15" i="4" s="1"/>
  <c r="AN15" i="4" s="1"/>
  <c r="AE49" i="4"/>
  <c r="AF49" i="4" s="1"/>
  <c r="AG49" i="4" s="1"/>
  <c r="AH49" i="4" s="1"/>
  <c r="AI49" i="4" s="1"/>
  <c r="AJ49" i="4" s="1"/>
  <c r="AK49" i="4" s="1"/>
  <c r="AL49" i="4" s="1"/>
  <c r="AM49" i="4" s="1"/>
  <c r="AN49" i="4" s="1"/>
  <c r="AD56" i="4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D59" i="4"/>
  <c r="AE59" i="4" s="1"/>
  <c r="AF59" i="4" s="1"/>
  <c r="AG59" i="4" s="1"/>
  <c r="AH59" i="4" s="1"/>
  <c r="AI59" i="4" s="1"/>
  <c r="AJ59" i="4" s="1"/>
  <c r="AK59" i="4" s="1"/>
  <c r="AL59" i="4" s="1"/>
  <c r="AM59" i="4" s="1"/>
  <c r="AN59" i="4" s="1"/>
  <c r="AD28" i="4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C88" i="4"/>
  <c r="AD88" i="4" s="1"/>
  <c r="AE88" i="4" s="1"/>
  <c r="AF88" i="4" s="1"/>
  <c r="AG88" i="4" s="1"/>
  <c r="AH88" i="4" s="1"/>
  <c r="AI88" i="4" s="1"/>
  <c r="AJ88" i="4" s="1"/>
  <c r="AK88" i="4" s="1"/>
  <c r="AL88" i="4" s="1"/>
  <c r="AM88" i="4" s="1"/>
  <c r="AN88" i="4" s="1"/>
  <c r="AD44" i="4"/>
  <c r="AE44" i="4" s="1"/>
  <c r="AF44" i="4" s="1"/>
  <c r="AG44" i="4" s="1"/>
  <c r="AH44" i="4" s="1"/>
  <c r="AI44" i="4" s="1"/>
  <c r="AJ44" i="4" s="1"/>
  <c r="AK44" i="4" s="1"/>
  <c r="AL44" i="4" s="1"/>
  <c r="AM44" i="4" s="1"/>
  <c r="AN44" i="4" s="1"/>
  <c r="AD14" i="4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D63" i="4"/>
  <c r="AE63" i="4" s="1"/>
  <c r="AF63" i="4" s="1"/>
  <c r="AG63" i="4" s="1"/>
  <c r="AH63" i="4" s="1"/>
  <c r="AI63" i="4" s="1"/>
  <c r="AJ63" i="4" s="1"/>
  <c r="AK63" i="4" s="1"/>
  <c r="AL63" i="4" s="1"/>
  <c r="AM63" i="4" s="1"/>
  <c r="AN63" i="4" s="1"/>
  <c r="AF35" i="4"/>
  <c r="AG35" i="4" s="1"/>
  <c r="AH35" i="4" s="1"/>
  <c r="AI35" i="4" s="1"/>
  <c r="AJ35" i="4" s="1"/>
  <c r="AK35" i="4" s="1"/>
  <c r="AL35" i="4" s="1"/>
  <c r="AM35" i="4" s="1"/>
  <c r="AN35" i="4" s="1"/>
  <c r="AD31" i="4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E24" i="4"/>
  <c r="AF24" i="4" s="1"/>
  <c r="AG24" i="4" s="1"/>
  <c r="AH24" i="4" s="1"/>
  <c r="AI24" i="4" s="1"/>
  <c r="AJ24" i="4" s="1"/>
  <c r="AK24" i="4" s="1"/>
  <c r="AL24" i="4" s="1"/>
  <c r="AM24" i="4" s="1"/>
  <c r="AN24" i="4" s="1"/>
  <c r="AD19" i="4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G149" i="4"/>
  <c r="AH149" i="4" s="1"/>
  <c r="AI149" i="4" s="1"/>
  <c r="AJ149" i="4" s="1"/>
  <c r="AK149" i="4" s="1"/>
  <c r="AL149" i="4" s="1"/>
  <c r="AM149" i="4" s="1"/>
  <c r="AN149" i="4" s="1"/>
  <c r="AE85" i="4"/>
  <c r="AF85" i="4" s="1"/>
  <c r="AG85" i="4" s="1"/>
  <c r="AH85" i="4" s="1"/>
  <c r="AI85" i="4" s="1"/>
  <c r="AJ85" i="4" s="1"/>
  <c r="AK85" i="4" s="1"/>
  <c r="AL85" i="4" s="1"/>
  <c r="AM85" i="4" s="1"/>
  <c r="AN85" i="4" s="1"/>
  <c r="AF47" i="4"/>
  <c r="AG47" i="4" s="1"/>
  <c r="AH47" i="4" s="1"/>
  <c r="AI47" i="4" s="1"/>
  <c r="AJ47" i="4" s="1"/>
  <c r="AK47" i="4" s="1"/>
  <c r="AL47" i="4" s="1"/>
  <c r="AM47" i="4" s="1"/>
  <c r="AN47" i="4" s="1"/>
  <c r="AF8" i="4"/>
  <c r="AG8" i="4" s="1"/>
  <c r="AH8" i="4" s="1"/>
  <c r="AI8" i="4" s="1"/>
  <c r="AJ8" i="4" s="1"/>
  <c r="AK8" i="4" s="1"/>
  <c r="AL8" i="4" s="1"/>
  <c r="AM8" i="4" s="1"/>
  <c r="AN8" i="4" s="1"/>
  <c r="M8" i="2" l="1"/>
  <c r="C148" i="2"/>
  <c r="B148" i="2"/>
  <c r="C108" i="4"/>
  <c r="C146" i="4"/>
  <c r="C148" i="4"/>
  <c r="B143" i="4"/>
  <c r="B146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4" i="4"/>
  <c r="B145" i="4"/>
  <c r="B147" i="4"/>
  <c r="B148" i="4"/>
  <c r="B7" i="4"/>
  <c r="B147" i="2"/>
  <c r="C147" i="2"/>
  <c r="C146" i="2"/>
  <c r="B146" i="2"/>
  <c r="C145" i="2"/>
  <c r="C145" i="4" s="1"/>
  <c r="B145" i="2"/>
  <c r="C144" i="2"/>
  <c r="C144" i="4" s="1"/>
  <c r="B144" i="2"/>
  <c r="C143" i="2"/>
  <c r="C143" i="4" s="1"/>
  <c r="B143" i="2"/>
  <c r="C142" i="2"/>
  <c r="C142" i="4" s="1"/>
  <c r="B142" i="2"/>
  <c r="C141" i="2"/>
  <c r="C141" i="4" s="1"/>
  <c r="B141" i="2"/>
  <c r="D156" i="2"/>
  <c r="D155" i="2"/>
  <c r="D154" i="2"/>
  <c r="D153" i="2"/>
  <c r="D152" i="2"/>
  <c r="D151" i="2"/>
  <c r="C140" i="2"/>
  <c r="C140" i="4" s="1"/>
  <c r="B140" i="2"/>
  <c r="C147" i="4" l="1"/>
  <c r="D143" i="4"/>
  <c r="B108" i="2" l="1"/>
  <c r="C84" i="2"/>
  <c r="C84" i="4" s="1"/>
  <c r="B84" i="2"/>
  <c r="D84" i="2" s="1"/>
  <c r="D108" i="4" l="1"/>
  <c r="D84" i="4"/>
  <c r="C8" i="2"/>
  <c r="C8" i="4" s="1"/>
  <c r="C9" i="2"/>
  <c r="C9" i="4" s="1"/>
  <c r="C10" i="2"/>
  <c r="C10" i="4" s="1"/>
  <c r="C11" i="2"/>
  <c r="C11" i="4" s="1"/>
  <c r="C12" i="2"/>
  <c r="C12" i="4" s="1"/>
  <c r="C13" i="2"/>
  <c r="C13" i="4" s="1"/>
  <c r="C14" i="2"/>
  <c r="C14" i="4" s="1"/>
  <c r="C15" i="2"/>
  <c r="C15" i="4" s="1"/>
  <c r="C16" i="2"/>
  <c r="C16" i="4" s="1"/>
  <c r="C17" i="2"/>
  <c r="C17" i="4" s="1"/>
  <c r="C18" i="2"/>
  <c r="C18" i="4" s="1"/>
  <c r="C19" i="2"/>
  <c r="C19" i="4" s="1"/>
  <c r="C20" i="2"/>
  <c r="C20" i="4" s="1"/>
  <c r="C21" i="2"/>
  <c r="C21" i="4" s="1"/>
  <c r="C22" i="2"/>
  <c r="C22" i="4" s="1"/>
  <c r="C23" i="2"/>
  <c r="C23" i="4" s="1"/>
  <c r="C24" i="2"/>
  <c r="C24" i="4" s="1"/>
  <c r="C25" i="2"/>
  <c r="C25" i="4" s="1"/>
  <c r="C26" i="2"/>
  <c r="C26" i="4" s="1"/>
  <c r="C27" i="2"/>
  <c r="C27" i="4" s="1"/>
  <c r="C28" i="2"/>
  <c r="C28" i="4" s="1"/>
  <c r="C29" i="2"/>
  <c r="C29" i="4" s="1"/>
  <c r="C30" i="2"/>
  <c r="C30" i="4" s="1"/>
  <c r="C31" i="2"/>
  <c r="C31" i="4" s="1"/>
  <c r="C32" i="2"/>
  <c r="C32" i="4" s="1"/>
  <c r="C33" i="2"/>
  <c r="C33" i="4" s="1"/>
  <c r="C34" i="2"/>
  <c r="C34" i="4" s="1"/>
  <c r="C35" i="2"/>
  <c r="C35" i="4" s="1"/>
  <c r="C36" i="2"/>
  <c r="C36" i="4" s="1"/>
  <c r="C37" i="2"/>
  <c r="C37" i="4" s="1"/>
  <c r="C38" i="2"/>
  <c r="C38" i="4" s="1"/>
  <c r="C39" i="2"/>
  <c r="C39" i="4" s="1"/>
  <c r="C40" i="2"/>
  <c r="C40" i="4" s="1"/>
  <c r="C41" i="2"/>
  <c r="C41" i="4" s="1"/>
  <c r="C42" i="2"/>
  <c r="C42" i="4" s="1"/>
  <c r="C43" i="2"/>
  <c r="C44" i="2"/>
  <c r="C44" i="4" s="1"/>
  <c r="C45" i="2"/>
  <c r="C45" i="4" s="1"/>
  <c r="C46" i="2"/>
  <c r="C46" i="4" s="1"/>
  <c r="C47" i="2"/>
  <c r="C47" i="4" s="1"/>
  <c r="C48" i="2"/>
  <c r="C48" i="4" s="1"/>
  <c r="C49" i="2"/>
  <c r="C50" i="2"/>
  <c r="C50" i="4" s="1"/>
  <c r="C51" i="2"/>
  <c r="C51" i="4" s="1"/>
  <c r="C52" i="2"/>
  <c r="C52" i="4" s="1"/>
  <c r="C53" i="2"/>
  <c r="C53" i="4" s="1"/>
  <c r="C54" i="2"/>
  <c r="C54" i="4" s="1"/>
  <c r="C55" i="2"/>
  <c r="C55" i="4" s="1"/>
  <c r="C56" i="2"/>
  <c r="C56" i="4" s="1"/>
  <c r="C57" i="2"/>
  <c r="C57" i="4" s="1"/>
  <c r="C58" i="2"/>
  <c r="C58" i="4" s="1"/>
  <c r="C59" i="2"/>
  <c r="C59" i="4" s="1"/>
  <c r="C60" i="2"/>
  <c r="C60" i="4" s="1"/>
  <c r="C61" i="2"/>
  <c r="C61" i="4" s="1"/>
  <c r="C62" i="2"/>
  <c r="C62" i="4" s="1"/>
  <c r="C63" i="2"/>
  <c r="C63" i="4" s="1"/>
  <c r="C64" i="2"/>
  <c r="C64" i="4" s="1"/>
  <c r="C65" i="2"/>
  <c r="C65" i="4" s="1"/>
  <c r="C66" i="2"/>
  <c r="C66" i="4" s="1"/>
  <c r="C67" i="2"/>
  <c r="C67" i="4" s="1"/>
  <c r="C68" i="2"/>
  <c r="C68" i="4" s="1"/>
  <c r="C69" i="2"/>
  <c r="C69" i="4" s="1"/>
  <c r="C70" i="2"/>
  <c r="C70" i="4" s="1"/>
  <c r="C71" i="2"/>
  <c r="C71" i="4" s="1"/>
  <c r="C72" i="2"/>
  <c r="C72" i="4" s="1"/>
  <c r="C73" i="2"/>
  <c r="C73" i="4" s="1"/>
  <c r="C74" i="2"/>
  <c r="C74" i="4" s="1"/>
  <c r="C75" i="2"/>
  <c r="C75" i="4" s="1"/>
  <c r="C76" i="2"/>
  <c r="C76" i="4" s="1"/>
  <c r="C77" i="2"/>
  <c r="C77" i="4" s="1"/>
  <c r="C78" i="2"/>
  <c r="C78" i="4" s="1"/>
  <c r="C79" i="2"/>
  <c r="C79" i="4" s="1"/>
  <c r="C80" i="2"/>
  <c r="C80" i="4" s="1"/>
  <c r="C81" i="2"/>
  <c r="C81" i="4" s="1"/>
  <c r="C82" i="2"/>
  <c r="C82" i="4" s="1"/>
  <c r="C83" i="2"/>
  <c r="C83" i="4" s="1"/>
  <c r="C85" i="2"/>
  <c r="C85" i="4" s="1"/>
  <c r="C86" i="2"/>
  <c r="C86" i="4" s="1"/>
  <c r="C87" i="2"/>
  <c r="C87" i="4" s="1"/>
  <c r="C88" i="2"/>
  <c r="C88" i="4" s="1"/>
  <c r="C89" i="2"/>
  <c r="C89" i="4" s="1"/>
  <c r="C90" i="2"/>
  <c r="C90" i="4" s="1"/>
  <c r="C91" i="2"/>
  <c r="C91" i="4" s="1"/>
  <c r="C92" i="2"/>
  <c r="C92" i="4" s="1"/>
  <c r="C93" i="2"/>
  <c r="C93" i="4" s="1"/>
  <c r="C94" i="2"/>
  <c r="C94" i="4" s="1"/>
  <c r="C95" i="2"/>
  <c r="C95" i="4" s="1"/>
  <c r="C96" i="2"/>
  <c r="C96" i="4" s="1"/>
  <c r="C97" i="2"/>
  <c r="C97" i="4" s="1"/>
  <c r="C98" i="2"/>
  <c r="C98" i="4" s="1"/>
  <c r="C99" i="2"/>
  <c r="C99" i="4" s="1"/>
  <c r="C100" i="2"/>
  <c r="C100" i="4" s="1"/>
  <c r="C101" i="2"/>
  <c r="C101" i="4" s="1"/>
  <c r="C102" i="2"/>
  <c r="C102" i="4" s="1"/>
  <c r="C103" i="2"/>
  <c r="C103" i="4" s="1"/>
  <c r="C104" i="2"/>
  <c r="C104" i="4" s="1"/>
  <c r="C105" i="2"/>
  <c r="C105" i="4" s="1"/>
  <c r="C106" i="2"/>
  <c r="C106" i="4" s="1"/>
  <c r="C107" i="2"/>
  <c r="C107" i="4" s="1"/>
  <c r="C109" i="2"/>
  <c r="C109" i="4" s="1"/>
  <c r="C110" i="2"/>
  <c r="C110" i="4" s="1"/>
  <c r="C111" i="2"/>
  <c r="C111" i="4" s="1"/>
  <c r="C112" i="2"/>
  <c r="C112" i="4" s="1"/>
  <c r="C113" i="2"/>
  <c r="C113" i="4" s="1"/>
  <c r="C114" i="2"/>
  <c r="C114" i="4" s="1"/>
  <c r="C115" i="2"/>
  <c r="C115" i="4" s="1"/>
  <c r="C116" i="2"/>
  <c r="C116" i="4" s="1"/>
  <c r="C117" i="2"/>
  <c r="C117" i="4" s="1"/>
  <c r="C118" i="2"/>
  <c r="C118" i="4" s="1"/>
  <c r="C119" i="2"/>
  <c r="C119" i="4" s="1"/>
  <c r="C120" i="2"/>
  <c r="C120" i="4" s="1"/>
  <c r="C121" i="2"/>
  <c r="C121" i="4" s="1"/>
  <c r="C122" i="2"/>
  <c r="C122" i="4" s="1"/>
  <c r="C123" i="2"/>
  <c r="C123" i="4" s="1"/>
  <c r="C124" i="2"/>
  <c r="C124" i="4" s="1"/>
  <c r="C125" i="2"/>
  <c r="C125" i="4" s="1"/>
  <c r="C126" i="2"/>
  <c r="C126" i="4" s="1"/>
  <c r="C127" i="2"/>
  <c r="C127" i="4" s="1"/>
  <c r="C128" i="2"/>
  <c r="C128" i="4" s="1"/>
  <c r="C129" i="2"/>
  <c r="C129" i="4" s="1"/>
  <c r="C130" i="2"/>
  <c r="C130" i="4" s="1"/>
  <c r="C131" i="2"/>
  <c r="C131" i="4" s="1"/>
  <c r="C132" i="2"/>
  <c r="C132" i="4" s="1"/>
  <c r="C133" i="2"/>
  <c r="C133" i="4" s="1"/>
  <c r="C134" i="2"/>
  <c r="C134" i="4" s="1"/>
  <c r="C135" i="2"/>
  <c r="C135" i="4" s="1"/>
  <c r="C136" i="2"/>
  <c r="C136" i="4" s="1"/>
  <c r="C137" i="2"/>
  <c r="C137" i="4" s="1"/>
  <c r="C138" i="2"/>
  <c r="C138" i="4" s="1"/>
  <c r="C139" i="2"/>
  <c r="C139" i="4" s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D65" i="2" s="1"/>
  <c r="B66" i="2"/>
  <c r="D66" i="2" s="1"/>
  <c r="B67" i="2"/>
  <c r="D67" i="2" s="1"/>
  <c r="B68" i="2"/>
  <c r="D68" i="2" s="1"/>
  <c r="D69" i="2"/>
  <c r="B70" i="2"/>
  <c r="D70" i="2" s="1"/>
  <c r="B71" i="2"/>
  <c r="D71" i="2" s="1"/>
  <c r="B72" i="2"/>
  <c r="D72" i="2" s="1"/>
  <c r="B73" i="2"/>
  <c r="D73" i="2" s="1"/>
  <c r="B74" i="2"/>
  <c r="D74" i="2" s="1"/>
  <c r="B75" i="2"/>
  <c r="D75" i="2" s="1"/>
  <c r="B76" i="2"/>
  <c r="D76" i="2" s="1"/>
  <c r="B77" i="2"/>
  <c r="D77" i="2" s="1"/>
  <c r="B78" i="2"/>
  <c r="D78" i="2" s="1"/>
  <c r="B79" i="2"/>
  <c r="D79" i="2" s="1"/>
  <c r="B80" i="2"/>
  <c r="D80" i="2" s="1"/>
  <c r="B81" i="2"/>
  <c r="D81" i="2" s="1"/>
  <c r="B82" i="2"/>
  <c r="D82" i="2" s="1"/>
  <c r="B83" i="2"/>
  <c r="D83" i="2" s="1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C43" i="4" l="1"/>
  <c r="D43" i="2"/>
  <c r="D25" i="2"/>
  <c r="C49" i="4"/>
  <c r="D49" i="2"/>
  <c r="D49" i="4"/>
  <c r="D144" i="4"/>
  <c r="D145" i="4"/>
  <c r="D146" i="4"/>
  <c r="D147" i="4"/>
  <c r="D148" i="4"/>
  <c r="D83" i="4" l="1"/>
  <c r="D142" i="4"/>
  <c r="D141" i="4"/>
  <c r="D82" i="4"/>
  <c r="D140" i="4"/>
  <c r="D50" i="4"/>
  <c r="D81" i="4"/>
  <c r="D64" i="4" l="1"/>
  <c r="D63" i="4"/>
  <c r="D62" i="4"/>
  <c r="D61" i="4"/>
  <c r="D60" i="4"/>
  <c r="D65" i="4"/>
  <c r="D139" i="4"/>
  <c r="CH2" i="1" l="1"/>
  <c r="CH4" i="1"/>
  <c r="D138" i="4"/>
  <c r="D40" i="4"/>
  <c r="D39" i="4"/>
  <c r="D38" i="4"/>
  <c r="D37" i="4"/>
  <c r="D80" i="4" l="1"/>
  <c r="Q165" i="4" l="1"/>
  <c r="AC165" i="4" s="1"/>
  <c r="R165" i="4"/>
  <c r="S165" i="4"/>
  <c r="T165" i="4"/>
  <c r="U165" i="4"/>
  <c r="V165" i="4"/>
  <c r="W165" i="4"/>
  <c r="X165" i="4"/>
  <c r="Y165" i="4"/>
  <c r="Z165" i="4"/>
  <c r="AA165" i="4"/>
  <c r="AB165" i="4"/>
  <c r="AD165" i="4" l="1"/>
  <c r="AE165" i="4" s="1"/>
  <c r="AF165" i="4" s="1"/>
  <c r="AG165" i="4" s="1"/>
  <c r="AH165" i="4" s="1"/>
  <c r="AI165" i="4" s="1"/>
  <c r="AJ165" i="4" s="1"/>
  <c r="AK165" i="4" s="1"/>
  <c r="AL165" i="4" s="1"/>
  <c r="AM165" i="4" s="1"/>
  <c r="AN165" i="4" s="1"/>
  <c r="G4" i="1" l="1"/>
  <c r="D4" i="1"/>
  <c r="H149" i="2" l="1"/>
  <c r="J149" i="2"/>
  <c r="I149" i="2"/>
  <c r="G149" i="2"/>
  <c r="F149" i="2"/>
  <c r="E149" i="2"/>
  <c r="I148" i="2"/>
  <c r="G148" i="2"/>
  <c r="E148" i="2"/>
  <c r="H146" i="2"/>
  <c r="I147" i="2"/>
  <c r="G147" i="2"/>
  <c r="E147" i="2"/>
  <c r="G146" i="2"/>
  <c r="J148" i="2"/>
  <c r="H148" i="2"/>
  <c r="F148" i="2"/>
  <c r="J146" i="2"/>
  <c r="F146" i="2"/>
  <c r="J147" i="2"/>
  <c r="H147" i="2"/>
  <c r="F147" i="2"/>
  <c r="I146" i="2"/>
  <c r="E146" i="2"/>
  <c r="I145" i="2"/>
  <c r="G145" i="2"/>
  <c r="E145" i="2"/>
  <c r="G144" i="2"/>
  <c r="I143" i="2"/>
  <c r="E143" i="2"/>
  <c r="G142" i="2"/>
  <c r="I141" i="2"/>
  <c r="E141" i="2"/>
  <c r="H140" i="2"/>
  <c r="F143" i="2"/>
  <c r="F141" i="2"/>
  <c r="J144" i="2"/>
  <c r="F144" i="2"/>
  <c r="H143" i="2"/>
  <c r="J142" i="2"/>
  <c r="F142" i="2"/>
  <c r="H141" i="2"/>
  <c r="E140" i="2"/>
  <c r="I140" i="2"/>
  <c r="J143" i="2"/>
  <c r="J141" i="2"/>
  <c r="J145" i="2"/>
  <c r="H145" i="2"/>
  <c r="F145" i="2"/>
  <c r="I144" i="2"/>
  <c r="E144" i="2"/>
  <c r="G143" i="2"/>
  <c r="I142" i="2"/>
  <c r="E142" i="2"/>
  <c r="G141" i="2"/>
  <c r="F140" i="2"/>
  <c r="J140" i="2"/>
  <c r="H144" i="2"/>
  <c r="H142" i="2"/>
  <c r="G140" i="2"/>
  <c r="G108" i="2"/>
  <c r="J108" i="2"/>
  <c r="F108" i="2"/>
  <c r="H108" i="2"/>
  <c r="I108" i="2"/>
  <c r="E108" i="2"/>
  <c r="J84" i="2"/>
  <c r="F84" i="2"/>
  <c r="E84" i="2"/>
  <c r="H84" i="2"/>
  <c r="G84" i="2"/>
  <c r="J49" i="2"/>
  <c r="F49" i="2"/>
  <c r="E49" i="2"/>
  <c r="H49" i="2"/>
  <c r="G49" i="2"/>
  <c r="I49" i="2"/>
  <c r="I82" i="2"/>
  <c r="G82" i="2"/>
  <c r="E82" i="2"/>
  <c r="H81" i="2"/>
  <c r="J82" i="2"/>
  <c r="F82" i="2"/>
  <c r="J81" i="2"/>
  <c r="E138" i="2"/>
  <c r="J83" i="2"/>
  <c r="H83" i="2"/>
  <c r="F83" i="2"/>
  <c r="E81" i="2"/>
  <c r="I81" i="2"/>
  <c r="E139" i="2"/>
  <c r="H82" i="2"/>
  <c r="F81" i="2"/>
  <c r="G83" i="2"/>
  <c r="E83" i="2"/>
  <c r="G81" i="2"/>
  <c r="E50" i="2"/>
  <c r="H50" i="2"/>
  <c r="G50" i="2"/>
  <c r="F50" i="2"/>
  <c r="J50" i="2"/>
  <c r="E63" i="2"/>
  <c r="E61" i="2"/>
  <c r="E64" i="2"/>
  <c r="E62" i="2"/>
  <c r="E65" i="2"/>
  <c r="E60" i="2"/>
  <c r="I61" i="2"/>
  <c r="H62" i="2"/>
  <c r="G63" i="2"/>
  <c r="J64" i="2"/>
  <c r="G60" i="2"/>
  <c r="G62" i="2"/>
  <c r="F63" i="2"/>
  <c r="H60" i="2"/>
  <c r="J61" i="2"/>
  <c r="I62" i="2"/>
  <c r="H63" i="2"/>
  <c r="G64" i="2"/>
  <c r="J60" i="2"/>
  <c r="F60" i="2"/>
  <c r="J63" i="2"/>
  <c r="G61" i="2"/>
  <c r="F62" i="2"/>
  <c r="J62" i="2"/>
  <c r="H64" i="2"/>
  <c r="I60" i="2"/>
  <c r="H61" i="2"/>
  <c r="I64" i="2"/>
  <c r="J139" i="2"/>
  <c r="H139" i="2"/>
  <c r="F139" i="2"/>
  <c r="G139" i="2"/>
  <c r="J138" i="2"/>
  <c r="F138" i="2"/>
  <c r="G138" i="2"/>
  <c r="H138" i="2"/>
  <c r="H40" i="2"/>
  <c r="J39" i="2"/>
  <c r="G40" i="2"/>
  <c r="E39" i="2"/>
  <c r="E40" i="2"/>
  <c r="G39" i="2"/>
  <c r="J40" i="2"/>
  <c r="H39" i="2"/>
  <c r="E38" i="2"/>
  <c r="H38" i="2"/>
  <c r="E37" i="2"/>
  <c r="G38" i="2"/>
  <c r="J38" i="2"/>
  <c r="G37" i="2"/>
  <c r="H37" i="2"/>
  <c r="J37" i="2"/>
  <c r="J80" i="2"/>
  <c r="F80" i="2"/>
  <c r="E80" i="2"/>
  <c r="H80" i="2"/>
  <c r="G80" i="2"/>
  <c r="I20" i="2"/>
  <c r="I32" i="2"/>
  <c r="I58" i="2"/>
  <c r="I67" i="2"/>
  <c r="I75" i="2"/>
  <c r="I79" i="2"/>
  <c r="I88" i="2"/>
  <c r="I96" i="2"/>
  <c r="I9" i="2"/>
  <c r="I17" i="2"/>
  <c r="I41" i="2"/>
  <c r="I51" i="2"/>
  <c r="I55" i="2"/>
  <c r="I72" i="2"/>
  <c r="I85" i="2"/>
  <c r="I93" i="2"/>
  <c r="I110" i="2"/>
  <c r="I118" i="2"/>
  <c r="I126" i="2"/>
  <c r="I95" i="2"/>
  <c r="I132" i="2"/>
  <c r="I121" i="2"/>
  <c r="I18" i="2"/>
  <c r="I22" i="2"/>
  <c r="I30" i="2"/>
  <c r="I42" i="2"/>
  <c r="I46" i="2"/>
  <c r="I86" i="2"/>
  <c r="I94" i="2"/>
  <c r="I98" i="2"/>
  <c r="I119" i="2"/>
  <c r="I127" i="2"/>
  <c r="I131" i="2"/>
  <c r="I47" i="2"/>
  <c r="I57" i="2"/>
  <c r="I78" i="2"/>
  <c r="I91" i="2"/>
  <c r="I99" i="2"/>
  <c r="I116" i="2"/>
  <c r="I128" i="2"/>
  <c r="G15" i="2"/>
  <c r="G19" i="2"/>
  <c r="G23" i="2"/>
  <c r="G27" i="2"/>
  <c r="G31" i="2"/>
  <c r="G35" i="2"/>
  <c r="G47" i="2"/>
  <c r="G53" i="2"/>
  <c r="G57" i="2"/>
  <c r="G66" i="2"/>
  <c r="G70" i="2"/>
  <c r="G74" i="2"/>
  <c r="G78" i="2"/>
  <c r="G87" i="2"/>
  <c r="G91" i="2"/>
  <c r="G95" i="2"/>
  <c r="G99" i="2"/>
  <c r="G103" i="2"/>
  <c r="G107" i="2"/>
  <c r="G112" i="2"/>
  <c r="G116" i="2"/>
  <c r="G120" i="2"/>
  <c r="G124" i="2"/>
  <c r="G128" i="2"/>
  <c r="G132" i="2"/>
  <c r="G136" i="2"/>
  <c r="G137" i="2"/>
  <c r="G30" i="2"/>
  <c r="G56" i="2"/>
  <c r="G73" i="2"/>
  <c r="G90" i="2"/>
  <c r="G102" i="2"/>
  <c r="G115" i="2"/>
  <c r="G127" i="2"/>
  <c r="G12" i="2"/>
  <c r="G16" i="2"/>
  <c r="G20" i="2"/>
  <c r="G36" i="2"/>
  <c r="G48" i="2"/>
  <c r="G54" i="2"/>
  <c r="G58" i="2"/>
  <c r="G67" i="2"/>
  <c r="G71" i="2"/>
  <c r="G75" i="2"/>
  <c r="G79" i="2"/>
  <c r="G88" i="2"/>
  <c r="G92" i="2"/>
  <c r="G96" i="2"/>
  <c r="G100" i="2"/>
  <c r="G104" i="2"/>
  <c r="G109" i="2"/>
  <c r="G113" i="2"/>
  <c r="G117" i="2"/>
  <c r="G121" i="2"/>
  <c r="G125" i="2"/>
  <c r="G129" i="2"/>
  <c r="G133" i="2"/>
  <c r="G22" i="2"/>
  <c r="G42" i="2"/>
  <c r="G65" i="2"/>
  <c r="G77" i="2"/>
  <c r="G94" i="2"/>
  <c r="G106" i="2"/>
  <c r="G119" i="2"/>
  <c r="G131" i="2"/>
  <c r="G9" i="2"/>
  <c r="G17" i="2"/>
  <c r="G21" i="2"/>
  <c r="G29" i="2"/>
  <c r="G41" i="2"/>
  <c r="G51" i="2"/>
  <c r="G55" i="2"/>
  <c r="G68" i="2"/>
  <c r="G72" i="2"/>
  <c r="G76" i="2"/>
  <c r="G85" i="2"/>
  <c r="G89" i="2"/>
  <c r="G93" i="2"/>
  <c r="G97" i="2"/>
  <c r="G101" i="2"/>
  <c r="G105" i="2"/>
  <c r="G110" i="2"/>
  <c r="G114" i="2"/>
  <c r="G118" i="2"/>
  <c r="G122" i="2"/>
  <c r="G126" i="2"/>
  <c r="G130" i="2"/>
  <c r="G134" i="2"/>
  <c r="G14" i="2"/>
  <c r="G52" i="2"/>
  <c r="G69" i="2"/>
  <c r="G86" i="2"/>
  <c r="G98" i="2"/>
  <c r="G111" i="2"/>
  <c r="G123" i="2"/>
  <c r="G135" i="2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H2" i="1"/>
  <c r="D2" i="1"/>
  <c r="F127" i="2" l="1"/>
  <c r="F129" i="2"/>
  <c r="F131" i="2"/>
  <c r="F133" i="2"/>
  <c r="F135" i="2"/>
  <c r="F137" i="2"/>
  <c r="H125" i="2"/>
  <c r="J126" i="2"/>
  <c r="H127" i="2"/>
  <c r="J128" i="2"/>
  <c r="H129" i="2"/>
  <c r="J130" i="2"/>
  <c r="H131" i="2"/>
  <c r="J132" i="2"/>
  <c r="H133" i="2"/>
  <c r="J134" i="2"/>
  <c r="H135" i="2"/>
  <c r="E136" i="2"/>
  <c r="J136" i="2"/>
  <c r="H137" i="2"/>
  <c r="J124" i="2"/>
  <c r="F126" i="2"/>
  <c r="F132" i="2"/>
  <c r="F134" i="2"/>
  <c r="J125" i="2"/>
  <c r="H126" i="2"/>
  <c r="J127" i="2"/>
  <c r="H128" i="2"/>
  <c r="J129" i="2"/>
  <c r="H130" i="2"/>
  <c r="J131" i="2"/>
  <c r="H132" i="2"/>
  <c r="J133" i="2"/>
  <c r="H134" i="2"/>
  <c r="E135" i="2"/>
  <c r="J135" i="2"/>
  <c r="H136" i="2"/>
  <c r="E137" i="2"/>
  <c r="J137" i="2"/>
  <c r="NC2" i="1"/>
  <c r="NC4" i="1"/>
  <c r="ND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F4" i="1"/>
  <c r="E4" i="1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41" i="4"/>
  <c r="D42" i="4"/>
  <c r="D43" i="4"/>
  <c r="D44" i="4"/>
  <c r="D45" i="4"/>
  <c r="D46" i="4"/>
  <c r="D47" i="4"/>
  <c r="D48" i="4"/>
  <c r="D51" i="4"/>
  <c r="D52" i="4"/>
  <c r="D53" i="4"/>
  <c r="D54" i="4"/>
  <c r="D55" i="4"/>
  <c r="D56" i="4"/>
  <c r="D57" i="4"/>
  <c r="D58" i="4"/>
  <c r="D59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C7" i="2"/>
  <c r="B7" i="2"/>
  <c r="ND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I54" i="2" s="1"/>
  <c r="FS2" i="1"/>
  <c r="FR2" i="1"/>
  <c r="FQ2" i="1"/>
  <c r="FP2" i="1"/>
  <c r="FO2" i="1"/>
  <c r="FN2" i="1"/>
  <c r="FM2" i="1"/>
  <c r="FL2" i="1"/>
  <c r="FK2" i="1"/>
  <c r="FJ2" i="1"/>
  <c r="I77" i="2" s="1"/>
  <c r="FI2" i="1"/>
  <c r="FH2" i="1"/>
  <c r="I70" i="2" s="1"/>
  <c r="FG2" i="1"/>
  <c r="FF2" i="1"/>
  <c r="I35" i="2" s="1"/>
  <c r="FE2" i="1"/>
  <c r="FD2" i="1"/>
  <c r="FC2" i="1"/>
  <c r="F130" i="2" s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H124" i="2" s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G2" i="1"/>
  <c r="CF2" i="1"/>
  <c r="CE2" i="1"/>
  <c r="CD2" i="1"/>
  <c r="CC2" i="1"/>
  <c r="CB2" i="1"/>
  <c r="CA2" i="1"/>
  <c r="BZ2" i="1"/>
  <c r="BY2" i="1"/>
  <c r="BX2" i="1"/>
  <c r="BW2" i="1"/>
  <c r="H10" i="2" s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I106" i="2" s="1"/>
  <c r="BC2" i="1"/>
  <c r="BB2" i="1"/>
  <c r="I111" i="2" s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G2" i="1"/>
  <c r="F2" i="1"/>
  <c r="E2" i="1"/>
  <c r="I84" i="2" l="1"/>
  <c r="D7" i="2"/>
  <c r="I100" i="2"/>
  <c r="I83" i="2"/>
  <c r="I50" i="2"/>
  <c r="I105" i="2"/>
  <c r="I63" i="2"/>
  <c r="I101" i="2"/>
  <c r="I73" i="2"/>
  <c r="I66" i="2"/>
  <c r="I74" i="2"/>
  <c r="I69" i="2"/>
  <c r="F128" i="2"/>
  <c r="I107" i="2"/>
  <c r="I130" i="2"/>
  <c r="F64" i="2"/>
  <c r="I139" i="2"/>
  <c r="G28" i="2"/>
  <c r="F61" i="2"/>
  <c r="I135" i="2"/>
  <c r="I117" i="2"/>
  <c r="I137" i="2"/>
  <c r="F125" i="2"/>
  <c r="I25" i="2"/>
  <c r="I115" i="2"/>
  <c r="F124" i="2"/>
  <c r="F113" i="2"/>
  <c r="I138" i="2"/>
  <c r="I120" i="2"/>
  <c r="I122" i="2"/>
  <c r="I112" i="2"/>
  <c r="I52" i="2"/>
  <c r="I102" i="2"/>
  <c r="I114" i="2"/>
  <c r="I90" i="2"/>
  <c r="I104" i="2"/>
  <c r="I39" i="2"/>
  <c r="G26" i="2"/>
  <c r="I125" i="2"/>
  <c r="F40" i="2"/>
  <c r="F39" i="2"/>
  <c r="F38" i="2"/>
  <c r="I136" i="2"/>
  <c r="F136" i="2"/>
  <c r="I124" i="2"/>
  <c r="I103" i="2"/>
  <c r="I133" i="2"/>
  <c r="I109" i="2"/>
  <c r="I56" i="2"/>
  <c r="I89" i="2"/>
  <c r="F37" i="2"/>
  <c r="I123" i="2"/>
  <c r="I80" i="2"/>
  <c r="I134" i="2"/>
  <c r="I129" i="2"/>
  <c r="I92" i="2"/>
  <c r="I65" i="2"/>
  <c r="I38" i="2"/>
  <c r="I36" i="2"/>
  <c r="I113" i="2"/>
  <c r="I21" i="2"/>
  <c r="I87" i="2"/>
  <c r="I97" i="2"/>
  <c r="S7" i="4"/>
  <c r="AA7" i="4"/>
  <c r="T7" i="4"/>
  <c r="X7" i="4"/>
  <c r="AB7" i="4"/>
  <c r="Q7" i="4"/>
  <c r="V7" i="4"/>
  <c r="W7" i="4"/>
  <c r="U7" i="4"/>
  <c r="Y7" i="4"/>
  <c r="R7" i="4"/>
  <c r="Z7" i="4"/>
  <c r="G7" i="2"/>
  <c r="G46" i="2"/>
  <c r="G13" i="2"/>
  <c r="G10" i="2"/>
  <c r="G8" i="2"/>
  <c r="G34" i="2"/>
  <c r="G32" i="2"/>
  <c r="G33" i="2"/>
  <c r="G44" i="2"/>
  <c r="G25" i="2"/>
  <c r="G45" i="2"/>
  <c r="G18" i="2"/>
  <c r="G59" i="2"/>
  <c r="G24" i="2"/>
  <c r="G43" i="2"/>
  <c r="I40" i="2"/>
  <c r="I59" i="2"/>
  <c r="I37" i="2"/>
  <c r="I71" i="2"/>
  <c r="I24" i="2"/>
  <c r="I45" i="2"/>
  <c r="I14" i="2"/>
  <c r="I16" i="2"/>
  <c r="I29" i="2"/>
  <c r="I15" i="2"/>
  <c r="I53" i="2"/>
  <c r="I44" i="2"/>
  <c r="I28" i="2"/>
  <c r="I31" i="2"/>
  <c r="I19" i="2"/>
  <c r="I33" i="2"/>
  <c r="I8" i="2"/>
  <c r="I26" i="2"/>
  <c r="I11" i="2"/>
  <c r="I12" i="2"/>
  <c r="I48" i="2"/>
  <c r="I23" i="2"/>
  <c r="G11" i="2"/>
  <c r="I68" i="2"/>
  <c r="I43" i="2"/>
  <c r="I76" i="2"/>
  <c r="I10" i="2"/>
  <c r="I13" i="2"/>
  <c r="I34" i="2"/>
  <c r="I27" i="2"/>
  <c r="P7" i="4"/>
  <c r="I7" i="4"/>
  <c r="M7" i="4"/>
  <c r="E7" i="4"/>
  <c r="K7" i="4"/>
  <c r="H7" i="4"/>
  <c r="L7" i="4"/>
  <c r="F7" i="4"/>
  <c r="J7" i="4"/>
  <c r="N7" i="4"/>
  <c r="G7" i="4"/>
  <c r="O7" i="4"/>
  <c r="E7" i="2"/>
  <c r="C7" i="4"/>
  <c r="D7" i="4" s="1"/>
  <c r="E130" i="2"/>
  <c r="E129" i="2"/>
  <c r="E132" i="2"/>
  <c r="E131" i="2"/>
  <c r="E134" i="2"/>
  <c r="E126" i="2"/>
  <c r="E127" i="2"/>
  <c r="E133" i="2"/>
  <c r="E125" i="2"/>
  <c r="E124" i="2"/>
  <c r="E128" i="2"/>
  <c r="E14" i="2"/>
  <c r="E10" i="2"/>
  <c r="E9" i="2"/>
  <c r="E8" i="2"/>
  <c r="E17" i="2"/>
  <c r="E13" i="2"/>
  <c r="E16" i="2"/>
  <c r="E12" i="2"/>
  <c r="E15" i="2"/>
  <c r="E11" i="2"/>
  <c r="I7" i="2"/>
  <c r="H122" i="2"/>
  <c r="H118" i="2"/>
  <c r="H114" i="2"/>
  <c r="H107" i="2"/>
  <c r="H103" i="2"/>
  <c r="H99" i="2"/>
  <c r="H93" i="2"/>
  <c r="H91" i="2"/>
  <c r="H123" i="2"/>
  <c r="H121" i="2"/>
  <c r="H119" i="2"/>
  <c r="H117" i="2"/>
  <c r="H115" i="2"/>
  <c r="H113" i="2"/>
  <c r="H111" i="2"/>
  <c r="H109" i="2"/>
  <c r="H106" i="2"/>
  <c r="H104" i="2"/>
  <c r="H102" i="2"/>
  <c r="H100" i="2"/>
  <c r="H98" i="2"/>
  <c r="H96" i="2"/>
  <c r="H94" i="2"/>
  <c r="H92" i="2"/>
  <c r="H90" i="2"/>
  <c r="H88" i="2"/>
  <c r="H120" i="2"/>
  <c r="H116" i="2"/>
  <c r="H112" i="2"/>
  <c r="H110" i="2"/>
  <c r="H105" i="2"/>
  <c r="H101" i="2"/>
  <c r="H97" i="2"/>
  <c r="H95" i="2"/>
  <c r="H89" i="2"/>
  <c r="H75" i="2"/>
  <c r="H74" i="2"/>
  <c r="H73" i="2"/>
  <c r="H72" i="2"/>
  <c r="H71" i="2"/>
  <c r="H70" i="2"/>
  <c r="H69" i="2"/>
  <c r="H68" i="2"/>
  <c r="H67" i="2"/>
  <c r="H66" i="2"/>
  <c r="H65" i="2"/>
  <c r="H7" i="2"/>
  <c r="F123" i="2"/>
  <c r="F122" i="2"/>
  <c r="F121" i="2"/>
  <c r="F120" i="2"/>
  <c r="F119" i="2"/>
  <c r="F118" i="2"/>
  <c r="F117" i="2"/>
  <c r="F116" i="2"/>
  <c r="F115" i="2"/>
  <c r="F114" i="2"/>
  <c r="F112" i="2"/>
  <c r="F111" i="2"/>
  <c r="F110" i="2"/>
  <c r="F109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79" i="2"/>
  <c r="F78" i="2"/>
  <c r="F77" i="2"/>
  <c r="F76" i="2"/>
  <c r="F75" i="2"/>
  <c r="F73" i="2"/>
  <c r="F72" i="2"/>
  <c r="F71" i="2"/>
  <c r="F70" i="2"/>
  <c r="F69" i="2"/>
  <c r="F68" i="2"/>
  <c r="F67" i="2"/>
  <c r="F66" i="2"/>
  <c r="F65" i="2"/>
  <c r="F59" i="2"/>
  <c r="F58" i="2"/>
  <c r="F57" i="2"/>
  <c r="J8" i="2"/>
  <c r="J9" i="2"/>
  <c r="J10" i="2"/>
  <c r="J11" i="2"/>
  <c r="J12" i="2"/>
  <c r="J13" i="2"/>
  <c r="J14" i="2"/>
  <c r="J15" i="2"/>
  <c r="J16" i="2"/>
  <c r="J17" i="2"/>
  <c r="E18" i="2"/>
  <c r="J18" i="2"/>
  <c r="E19" i="2"/>
  <c r="J19" i="2"/>
  <c r="E20" i="2"/>
  <c r="J20" i="2"/>
  <c r="E21" i="2"/>
  <c r="J21" i="2"/>
  <c r="E22" i="2"/>
  <c r="J22" i="2"/>
  <c r="E23" i="2"/>
  <c r="J23" i="2"/>
  <c r="E24" i="2"/>
  <c r="J24" i="2"/>
  <c r="E25" i="2"/>
  <c r="J25" i="2"/>
  <c r="E26" i="2"/>
  <c r="J26" i="2"/>
  <c r="E27" i="2"/>
  <c r="J27" i="2"/>
  <c r="E28" i="2"/>
  <c r="J28" i="2"/>
  <c r="E29" i="2"/>
  <c r="J29" i="2"/>
  <c r="E30" i="2"/>
  <c r="J30" i="2"/>
  <c r="E31" i="2"/>
  <c r="J31" i="2"/>
  <c r="E32" i="2"/>
  <c r="J32" i="2"/>
  <c r="E33" i="2"/>
  <c r="J33" i="2"/>
  <c r="E34" i="2"/>
  <c r="J34" i="2"/>
  <c r="E35" i="2"/>
  <c r="J35" i="2"/>
  <c r="E36" i="2"/>
  <c r="J36" i="2"/>
  <c r="E41" i="2"/>
  <c r="J41" i="2"/>
  <c r="E42" i="2"/>
  <c r="J42" i="2"/>
  <c r="E43" i="2"/>
  <c r="J43" i="2"/>
  <c r="E44" i="2"/>
  <c r="J44" i="2"/>
  <c r="E45" i="2"/>
  <c r="J45" i="2"/>
  <c r="E46" i="2"/>
  <c r="J46" i="2"/>
  <c r="E47" i="2"/>
  <c r="J47" i="2"/>
  <c r="E48" i="2"/>
  <c r="J48" i="2"/>
  <c r="E51" i="2"/>
  <c r="J51" i="2"/>
  <c r="E52" i="2"/>
  <c r="J52" i="2"/>
  <c r="E53" i="2"/>
  <c r="J53" i="2"/>
  <c r="E54" i="2"/>
  <c r="J54" i="2"/>
  <c r="E55" i="2"/>
  <c r="J55" i="2"/>
  <c r="E56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41" i="2"/>
  <c r="F42" i="2"/>
  <c r="F43" i="2"/>
  <c r="F44" i="2"/>
  <c r="F45" i="2"/>
  <c r="F46" i="2"/>
  <c r="F47" i="2"/>
  <c r="F48" i="2"/>
  <c r="F51" i="2"/>
  <c r="F52" i="2"/>
  <c r="F53" i="2"/>
  <c r="F54" i="2"/>
  <c r="F55" i="2"/>
  <c r="F56" i="2"/>
  <c r="H8" i="2"/>
  <c r="H9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41" i="2"/>
  <c r="H42" i="2"/>
  <c r="H43" i="2"/>
  <c r="H44" i="2"/>
  <c r="H45" i="2"/>
  <c r="H46" i="2"/>
  <c r="H47" i="2"/>
  <c r="H48" i="2"/>
  <c r="H51" i="2"/>
  <c r="H52" i="2"/>
  <c r="H53" i="2"/>
  <c r="H54" i="2"/>
  <c r="H55" i="2"/>
  <c r="H56" i="2"/>
  <c r="J123" i="2"/>
  <c r="E123" i="2"/>
  <c r="J122" i="2"/>
  <c r="E122" i="2"/>
  <c r="J121" i="2"/>
  <c r="E121" i="2"/>
  <c r="J120" i="2"/>
  <c r="E120" i="2"/>
  <c r="J119" i="2"/>
  <c r="E119" i="2"/>
  <c r="J118" i="2"/>
  <c r="E118" i="2"/>
  <c r="J117" i="2"/>
  <c r="E117" i="2"/>
  <c r="J116" i="2"/>
  <c r="E116" i="2"/>
  <c r="J115" i="2"/>
  <c r="E115" i="2"/>
  <c r="J114" i="2"/>
  <c r="E114" i="2"/>
  <c r="J113" i="2"/>
  <c r="E113" i="2"/>
  <c r="J112" i="2"/>
  <c r="E112" i="2"/>
  <c r="J111" i="2"/>
  <c r="E111" i="2"/>
  <c r="J110" i="2"/>
  <c r="E110" i="2"/>
  <c r="J109" i="2"/>
  <c r="E109" i="2"/>
  <c r="J107" i="2"/>
  <c r="E107" i="2"/>
  <c r="J106" i="2"/>
  <c r="E106" i="2"/>
  <c r="J105" i="2"/>
  <c r="E105" i="2"/>
  <c r="J104" i="2"/>
  <c r="E104" i="2"/>
  <c r="J103" i="2"/>
  <c r="E103" i="2"/>
  <c r="J102" i="2"/>
  <c r="E102" i="2"/>
  <c r="J101" i="2"/>
  <c r="E101" i="2"/>
  <c r="J100" i="2"/>
  <c r="E100" i="2"/>
  <c r="J99" i="2"/>
  <c r="E99" i="2"/>
  <c r="J98" i="2"/>
  <c r="E98" i="2"/>
  <c r="J97" i="2"/>
  <c r="E97" i="2"/>
  <c r="J96" i="2"/>
  <c r="E96" i="2"/>
  <c r="J95" i="2"/>
  <c r="E95" i="2"/>
  <c r="J94" i="2"/>
  <c r="E94" i="2"/>
  <c r="J93" i="2"/>
  <c r="E93" i="2"/>
  <c r="J92" i="2"/>
  <c r="E92" i="2"/>
  <c r="J91" i="2"/>
  <c r="E91" i="2"/>
  <c r="J90" i="2"/>
  <c r="E90" i="2"/>
  <c r="J89" i="2"/>
  <c r="E89" i="2"/>
  <c r="J88" i="2"/>
  <c r="E88" i="2"/>
  <c r="J87" i="2"/>
  <c r="E87" i="2"/>
  <c r="J86" i="2"/>
  <c r="E86" i="2"/>
  <c r="J85" i="2"/>
  <c r="E85" i="2"/>
  <c r="J79" i="2"/>
  <c r="E79" i="2"/>
  <c r="J78" i="2"/>
  <c r="E78" i="2"/>
  <c r="J77" i="2"/>
  <c r="E77" i="2"/>
  <c r="J76" i="2"/>
  <c r="E76" i="2"/>
  <c r="J75" i="2"/>
  <c r="E75" i="2"/>
  <c r="J74" i="2"/>
  <c r="E74" i="2"/>
  <c r="J73" i="2"/>
  <c r="E73" i="2"/>
  <c r="J72" i="2"/>
  <c r="E72" i="2"/>
  <c r="J71" i="2"/>
  <c r="E71" i="2"/>
  <c r="J70" i="2"/>
  <c r="E70" i="2"/>
  <c r="J69" i="2"/>
  <c r="E69" i="2"/>
  <c r="J68" i="2"/>
  <c r="E68" i="2"/>
  <c r="J67" i="2"/>
  <c r="E67" i="2"/>
  <c r="J66" i="2"/>
  <c r="E66" i="2"/>
  <c r="J65" i="2"/>
  <c r="J59" i="2"/>
  <c r="E59" i="2"/>
  <c r="J58" i="2"/>
  <c r="E58" i="2"/>
  <c r="J57" i="2"/>
  <c r="E57" i="2"/>
  <c r="J56" i="2"/>
  <c r="H87" i="2"/>
  <c r="H86" i="2"/>
  <c r="H85" i="2"/>
  <c r="H79" i="2"/>
  <c r="H78" i="2"/>
  <c r="H77" i="2"/>
  <c r="H76" i="2"/>
  <c r="H59" i="2"/>
  <c r="H58" i="2"/>
  <c r="H57" i="2"/>
  <c r="J7" i="2"/>
  <c r="M73" i="2" l="1"/>
  <c r="M38" i="2"/>
  <c r="M149" i="2"/>
  <c r="M150" i="2"/>
  <c r="M111" i="2"/>
  <c r="M101" i="2"/>
  <c r="M121" i="2"/>
  <c r="M147" i="2"/>
  <c r="M16" i="2"/>
  <c r="M71" i="2"/>
  <c r="M91" i="2"/>
  <c r="M61" i="2"/>
  <c r="M67" i="2"/>
  <c r="M47" i="2"/>
  <c r="M53" i="2"/>
  <c r="M126" i="2"/>
  <c r="M27" i="2"/>
  <c r="M78" i="2"/>
  <c r="M130" i="2"/>
  <c r="M137" i="2"/>
  <c r="M14" i="2"/>
  <c r="M122" i="2"/>
  <c r="M144" i="2"/>
  <c r="M93" i="2"/>
  <c r="M102" i="2"/>
  <c r="M124" i="2"/>
  <c r="M25" i="2"/>
  <c r="M66" i="2"/>
  <c r="M88" i="2"/>
  <c r="M100" i="2"/>
  <c r="M58" i="2"/>
  <c r="M80" i="2"/>
  <c r="M20" i="2"/>
  <c r="M60" i="2"/>
  <c r="M135" i="2"/>
  <c r="M129" i="2"/>
  <c r="M24" i="2"/>
  <c r="M19" i="2"/>
  <c r="M77" i="2"/>
  <c r="M52" i="2"/>
  <c r="M95" i="2"/>
  <c r="M31" i="2"/>
  <c r="M106" i="2"/>
  <c r="M42" i="2"/>
  <c r="M105" i="2"/>
  <c r="M37" i="2"/>
  <c r="M128" i="2"/>
  <c r="M64" i="2"/>
  <c r="M131" i="2"/>
  <c r="M94" i="2"/>
  <c r="M41" i="2"/>
  <c r="M139" i="2"/>
  <c r="M75" i="2"/>
  <c r="M86" i="2"/>
  <c r="M22" i="2"/>
  <c r="M85" i="2"/>
  <c r="M17" i="2"/>
  <c r="M108" i="2"/>
  <c r="M44" i="2"/>
  <c r="M83" i="2"/>
  <c r="M30" i="2"/>
  <c r="M116" i="2"/>
  <c r="M119" i="2"/>
  <c r="M55" i="2"/>
  <c r="M114" i="2"/>
  <c r="M50" i="2"/>
  <c r="M113" i="2"/>
  <c r="M45" i="2"/>
  <c r="M136" i="2"/>
  <c r="M72" i="2"/>
  <c r="M110" i="2"/>
  <c r="M143" i="2"/>
  <c r="M79" i="2"/>
  <c r="M15" i="2"/>
  <c r="M90" i="2"/>
  <c r="M26" i="2"/>
  <c r="M89" i="2"/>
  <c r="M21" i="2"/>
  <c r="M112" i="2"/>
  <c r="M48" i="2"/>
  <c r="M99" i="2"/>
  <c r="M46" i="2"/>
  <c r="M148" i="2"/>
  <c r="M123" i="2"/>
  <c r="M59" i="2"/>
  <c r="M134" i="2"/>
  <c r="M70" i="2"/>
  <c r="M133" i="2"/>
  <c r="M65" i="2"/>
  <c r="M141" i="2"/>
  <c r="M92" i="2"/>
  <c r="M28" i="2"/>
  <c r="M51" i="2"/>
  <c r="M125" i="2"/>
  <c r="M84" i="2"/>
  <c r="M103" i="2"/>
  <c r="M39" i="2"/>
  <c r="M98" i="2"/>
  <c r="M97" i="2"/>
  <c r="M29" i="2"/>
  <c r="M120" i="2"/>
  <c r="M56" i="2"/>
  <c r="M142" i="2"/>
  <c r="M115" i="2"/>
  <c r="M62" i="2"/>
  <c r="M132" i="2"/>
  <c r="M127" i="2"/>
  <c r="M63" i="2"/>
  <c r="M138" i="2"/>
  <c r="M74" i="2"/>
  <c r="M69" i="2"/>
  <c r="M145" i="2"/>
  <c r="M96" i="2"/>
  <c r="M32" i="2"/>
  <c r="M35" i="2"/>
  <c r="M109" i="2"/>
  <c r="M68" i="2"/>
  <c r="M107" i="2"/>
  <c r="M43" i="2"/>
  <c r="M118" i="2"/>
  <c r="M54" i="2"/>
  <c r="M117" i="2"/>
  <c r="M49" i="2"/>
  <c r="M140" i="2"/>
  <c r="M76" i="2"/>
  <c r="M146" i="2"/>
  <c r="M57" i="2"/>
  <c r="M36" i="2"/>
  <c r="M87" i="2"/>
  <c r="M23" i="2"/>
  <c r="M82" i="2"/>
  <c r="M18" i="2"/>
  <c r="M81" i="2"/>
  <c r="M13" i="2"/>
  <c r="M104" i="2"/>
  <c r="M40" i="2"/>
  <c r="AC7" i="4"/>
  <c r="AD7" i="4" s="1"/>
  <c r="AE7" i="4" s="1"/>
  <c r="AF7" i="4" s="1"/>
  <c r="AG7" i="4" s="1"/>
  <c r="AH7" i="4" s="1"/>
  <c r="AI7" i="4" s="1"/>
  <c r="AJ7" i="4" s="1"/>
  <c r="AK7" i="4" s="1"/>
  <c r="AL7" i="4" l="1"/>
  <c r="AM7" i="4" s="1"/>
  <c r="AN7" i="4" s="1"/>
  <c r="M7" i="2"/>
</calcChain>
</file>

<file path=xl/sharedStrings.xml><?xml version="1.0" encoding="utf-8"?>
<sst xmlns="http://schemas.openxmlformats.org/spreadsheetml/2006/main" count="2678" uniqueCount="236">
  <si>
    <t>No</t>
  </si>
  <si>
    <t>Nama Karyawan</t>
  </si>
  <si>
    <t>H</t>
  </si>
  <si>
    <t>Kode</t>
  </si>
  <si>
    <t>Keterangan</t>
  </si>
  <si>
    <t>Hadir</t>
  </si>
  <si>
    <t>S</t>
  </si>
  <si>
    <t>Sakit</t>
  </si>
  <si>
    <t>C</t>
  </si>
  <si>
    <t>Cuti</t>
  </si>
  <si>
    <t>T</t>
  </si>
  <si>
    <t>Terlambat</t>
  </si>
  <si>
    <t>Nomor Induk Karyawan</t>
  </si>
  <si>
    <t>Batas</t>
  </si>
  <si>
    <t>batas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</si>
  <si>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</si>
  <si>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</si>
  <si>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</si>
  <si>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</si>
  <si>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</si>
  <si>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</si>
  <si>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</si>
  <si>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</si>
  <si>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</si>
  <si>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</si>
  <si>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</si>
  <si>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</si>
  <si>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</si>
  <si>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</si>
  <si>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</si>
  <si>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</si>
  <si>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</si>
  <si>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</si>
  <si>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</si>
  <si>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</si>
  <si>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</si>
  <si>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</si>
  <si>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</si>
  <si>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</si>
  <si>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</si>
  <si>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No.</t>
  </si>
  <si>
    <t>REKAP KEHADIRAN</t>
  </si>
  <si>
    <t>Pilih Bulan</t>
  </si>
  <si>
    <t>Suci Rahmawati</t>
  </si>
  <si>
    <t>Nur Octaviani</t>
  </si>
  <si>
    <t>M. Farhan</t>
  </si>
  <si>
    <t>Nadia</t>
  </si>
  <si>
    <t>Aan Turipno</t>
  </si>
  <si>
    <t>dika</t>
  </si>
  <si>
    <t>Mella Hariyati</t>
  </si>
  <si>
    <t>Egi Permana</t>
  </si>
  <si>
    <t>Dede Irawan</t>
  </si>
  <si>
    <t>eri mutaqin</t>
  </si>
  <si>
    <t>Fiqri Amirulloh Maulidan</t>
  </si>
  <si>
    <t>Jihan</t>
  </si>
  <si>
    <t>Samawi</t>
  </si>
  <si>
    <t>Guruh Fathur Rohman</t>
  </si>
  <si>
    <t>Rizal Tajali Akbar</t>
  </si>
  <si>
    <t>Amrullah</t>
  </si>
  <si>
    <t>Dede Komarudin</t>
  </si>
  <si>
    <t>Isti Rofah</t>
  </si>
  <si>
    <t>Muhammad Ihsan Iswahyudi</t>
  </si>
  <si>
    <t>Iwan Setiawan</t>
  </si>
  <si>
    <t>Noval Azhar</t>
  </si>
  <si>
    <t>Putri Maulida</t>
  </si>
  <si>
    <t>Ali Imron</t>
  </si>
  <si>
    <t>Riyan Setiawan</t>
  </si>
  <si>
    <t>Kusnadi</t>
  </si>
  <si>
    <t>Hamdani</t>
  </si>
  <si>
    <t>Risa Srinita</t>
  </si>
  <si>
    <t>Muhamad Imron Sopary</t>
  </si>
  <si>
    <t>Muhammad Fathir Alfarizi</t>
  </si>
  <si>
    <t>Fikri Paturohman</t>
  </si>
  <si>
    <t>Putrinesia Ramadhani H</t>
  </si>
  <si>
    <t>Intan Melani</t>
  </si>
  <si>
    <t>Fahrul Azi</t>
  </si>
  <si>
    <t>Sapto Fama</t>
  </si>
  <si>
    <t>Pandu Galih Prakoso</t>
  </si>
  <si>
    <t>Anna Virlya Aryanto</t>
  </si>
  <si>
    <t>Fachrial Akbar</t>
  </si>
  <si>
    <t>Daffa Marcel Alfarras</t>
  </si>
  <si>
    <t>Andi Santanu</t>
  </si>
  <si>
    <t>Aat Ahmad Hidayat</t>
  </si>
  <si>
    <t>Noval Handika</t>
  </si>
  <si>
    <t>Muhammad Hopid</t>
  </si>
  <si>
    <t>Taopik Hidayat</t>
  </si>
  <si>
    <t>Iwan Kosasih</t>
  </si>
  <si>
    <t>Hadidtio</t>
  </si>
  <si>
    <t>Muhammad Yusuf</t>
  </si>
  <si>
    <t>Yustari Anggraeni</t>
  </si>
  <si>
    <t>Guntur</t>
  </si>
  <si>
    <t>Daud</t>
  </si>
  <si>
    <t>nabila wardah saadah</t>
  </si>
  <si>
    <t>soleh</t>
  </si>
  <si>
    <t>diki</t>
  </si>
  <si>
    <t>vincentius deddy</t>
  </si>
  <si>
    <t>kurniawan</t>
  </si>
  <si>
    <t>Sugi</t>
  </si>
  <si>
    <t>alfandi</t>
  </si>
  <si>
    <t>ayuning</t>
  </si>
  <si>
    <t>Egi</t>
  </si>
  <si>
    <t>Muchtar</t>
  </si>
  <si>
    <t>Alip</t>
  </si>
  <si>
    <t>BAGUS</t>
  </si>
  <si>
    <t>ADIT</t>
  </si>
  <si>
    <t>FAUZI</t>
  </si>
  <si>
    <t>SALWA</t>
  </si>
  <si>
    <t>Agung</t>
  </si>
  <si>
    <t>Bany</t>
  </si>
  <si>
    <t>Afrizal</t>
  </si>
  <si>
    <t>Tri kartika</t>
  </si>
  <si>
    <t>Aulia</t>
  </si>
  <si>
    <t>Neneng nurasiah</t>
  </si>
  <si>
    <t>Andry</t>
  </si>
  <si>
    <t>Yono</t>
  </si>
  <si>
    <t>Faturrachman</t>
  </si>
  <si>
    <t>Tomi</t>
  </si>
  <si>
    <t>Hadid</t>
  </si>
  <si>
    <t>Fuad</t>
  </si>
  <si>
    <t>Ugi</t>
  </si>
  <si>
    <t>Nanto</t>
  </si>
  <si>
    <t>Ibnu</t>
  </si>
  <si>
    <t>Fajar</t>
  </si>
  <si>
    <t>Indra</t>
  </si>
  <si>
    <t>Reni</t>
  </si>
  <si>
    <t>Dita Septiyanti</t>
  </si>
  <si>
    <t>Aliyudin</t>
  </si>
  <si>
    <t>Aisyah</t>
  </si>
  <si>
    <t>wanto</t>
  </si>
  <si>
    <t>Maulana</t>
  </si>
  <si>
    <t>Riki</t>
  </si>
  <si>
    <t>Mahesa</t>
  </si>
  <si>
    <t>Lokasi</t>
  </si>
  <si>
    <t>Gudang A</t>
  </si>
  <si>
    <t>Gudang C</t>
  </si>
  <si>
    <t>GLC</t>
  </si>
  <si>
    <t>Tanjung Duren</t>
  </si>
  <si>
    <t>IDD</t>
  </si>
  <si>
    <t>Reef Plus</t>
  </si>
  <si>
    <t>Kebayoran Lama</t>
  </si>
  <si>
    <t>*pilih bulan</t>
  </si>
  <si>
    <t>Keluar Pagi</t>
  </si>
  <si>
    <t>KP</t>
  </si>
  <si>
    <t>Keluar pagi</t>
  </si>
  <si>
    <t xml:space="preserve">Hari </t>
  </si>
  <si>
    <t>Event</t>
  </si>
  <si>
    <t>Kamis</t>
  </si>
  <si>
    <t xml:space="preserve">Tahun Baru Masehi </t>
  </si>
  <si>
    <t>Jumat</t>
  </si>
  <si>
    <t>Isra Mikraj Nabi Muhammad SAW</t>
  </si>
  <si>
    <t>Selasa</t>
  </si>
  <si>
    <t>Tahun Baru Imlek</t>
  </si>
  <si>
    <t>Nyepi</t>
  </si>
  <si>
    <t>Sabtu</t>
  </si>
  <si>
    <t>Idul Fitri</t>
  </si>
  <si>
    <t>Minggu</t>
  </si>
  <si>
    <t>Wafat Yesus Kristus</t>
  </si>
  <si>
    <t>Kebangkitan Yesus Kristus (Paskah)</t>
  </si>
  <si>
    <t>Hari Buruh Internasional</t>
  </si>
  <si>
    <t xml:space="preserve">Kenaikan Yesus Kristus </t>
  </si>
  <si>
    <t>Rabu</t>
  </si>
  <si>
    <t>Idul Adha 1447 H</t>
  </si>
  <si>
    <t>Hari Raya Waisak</t>
  </si>
  <si>
    <t>Senin</t>
  </si>
  <si>
    <t>Hari Lahir Pancasila</t>
  </si>
  <si>
    <t>Tahun  Baru Islan 1448 H</t>
  </si>
  <si>
    <t>Hari Kemerdekaan Indonesia</t>
  </si>
  <si>
    <t>Maulid Nabi Muhammad SAW</t>
  </si>
  <si>
    <t>Kelahiran Yesus Kristus</t>
  </si>
  <si>
    <t>Tanggal Merah</t>
  </si>
  <si>
    <t>Sisa Cuti</t>
  </si>
  <si>
    <t>Data Karyawan</t>
  </si>
  <si>
    <t>SISA CUTI</t>
  </si>
  <si>
    <t>CS</t>
  </si>
  <si>
    <t>Cuti Setengah Hari</t>
  </si>
  <si>
    <t>CUTI FULL</t>
  </si>
  <si>
    <t>CUTI SETENGAH HARI</t>
  </si>
  <si>
    <t>Bintang Ananda</t>
  </si>
  <si>
    <t>Khaeril Haq</t>
  </si>
  <si>
    <t>Saiful Fisri</t>
  </si>
  <si>
    <t>M. Fariz Maulana</t>
  </si>
  <si>
    <t>Malik Irsad Abdullah</t>
  </si>
  <si>
    <t>Fatul Muhni Khozali</t>
  </si>
  <si>
    <t>Gozali Nurdin</t>
  </si>
  <si>
    <t>Rama Ali</t>
  </si>
  <si>
    <t>Agus Triyana</t>
  </si>
  <si>
    <t>Samsul Muarip</t>
  </si>
  <si>
    <t>Ahmad Andhika Pratama</t>
  </si>
  <si>
    <t>Dian Maulana</t>
  </si>
  <si>
    <t>Dimas Pratama</t>
  </si>
  <si>
    <t>M. Rifqi Fauzan</t>
  </si>
  <si>
    <t>Afriza Saputra</t>
  </si>
  <si>
    <t>Zainudin Hidayatullah</t>
  </si>
  <si>
    <t>Kenny Kiemas Ramdhana</t>
  </si>
  <si>
    <t xml:space="preserve">Shaqinah </t>
  </si>
  <si>
    <t>Karlina Putri</t>
  </si>
  <si>
    <t>Julio Siahaan</t>
  </si>
  <si>
    <t>Julian Akbar</t>
  </si>
  <si>
    <t>Faisal</t>
  </si>
  <si>
    <t>Gilang</t>
  </si>
  <si>
    <t>Heri Sandi</t>
  </si>
  <si>
    <t>Hilman</t>
  </si>
  <si>
    <t>Agus</t>
  </si>
  <si>
    <t>Edi Kuswanto</t>
  </si>
  <si>
    <t>Dedi Cahyanto</t>
  </si>
  <si>
    <t>Supandi</t>
  </si>
  <si>
    <t>Realita riandy</t>
  </si>
  <si>
    <t>Tri saraswati</t>
  </si>
  <si>
    <t>Iwan hendrawan</t>
  </si>
  <si>
    <t>Yulita Fajarini</t>
  </si>
  <si>
    <t>Heru Yanuarto</t>
  </si>
  <si>
    <t>Diki Mahendra</t>
  </si>
  <si>
    <t>Harry</t>
  </si>
  <si>
    <t>Shella Septiyadis</t>
  </si>
  <si>
    <t>Sri Fuji Astuti</t>
  </si>
  <si>
    <t>Erda Marwan</t>
  </si>
  <si>
    <t>Mifta Udin Pratama</t>
  </si>
  <si>
    <t>Tara Febriyanti</t>
  </si>
  <si>
    <t>M. Yasir Ubaidilla</t>
  </si>
  <si>
    <t>Yon Ali</t>
  </si>
  <si>
    <t>Ahmad Aji Jabbar</t>
  </si>
  <si>
    <t>Desta Indrawan</t>
  </si>
  <si>
    <t>Taswin</t>
  </si>
  <si>
    <t>M. Sapei</t>
  </si>
  <si>
    <t>Irgi Ardiansyah</t>
  </si>
  <si>
    <t>Rizki Febriansyah</t>
  </si>
  <si>
    <t>Bandung</t>
  </si>
  <si>
    <t>Apriliani Lestari</t>
  </si>
  <si>
    <t xml:space="preserve">Rahman Zaenal </t>
  </si>
  <si>
    <t>Fishroom</t>
  </si>
  <si>
    <t>Set Up</t>
  </si>
  <si>
    <t>Iwa Kartiwa</t>
  </si>
  <si>
    <t>Sesilia Karuna Ekaputra</t>
  </si>
  <si>
    <t>BAndung</t>
  </si>
  <si>
    <t xml:space="preserve">Ibnu Gilang Sasongko </t>
  </si>
  <si>
    <t>Ibnu Gilang Sasongko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</si>
</sst>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  <charset val="1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4F81BD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4F81BD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rgb="FF4F81BD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0" fontId="13" fillId="0" borderId="0"/>
    <xf numFmtId="0" fontId="15" fillId="0" borderId="0"/>
    <xf numFmtId="0" fontId="17" fillId="0" borderId="0"/>
  </cellStyleXfs>
  <cellXfs count="64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7" borderId="0" xfId="0" applyFill="1"/>
    <xf numFmtId="0" fontId="0" fillId="7" borderId="2" xfId="0" applyFill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6" fillId="0" borderId="1" xfId="1" applyNumberFormat="1" applyFont="1" applyFill="1" applyBorder="1" applyAlignment="1">
      <alignment wrapText="1"/>
    </xf>
    <xf numFmtId="0" fontId="16" fillId="0" borderId="1" xfId="4" applyFont="1" applyBorder="1" applyAlignment="1">
      <alignment wrapText="1"/>
    </xf>
    <xf numFmtId="0" fontId="14" fillId="0" borderId="1" xfId="2" applyNumberFormat="1" applyFont="1" applyFill="1" applyBorder="1" applyAlignment="1">
      <alignment wrapText="1"/>
    </xf>
    <xf numFmtId="0" fontId="8" fillId="9" borderId="0" xfId="0" applyFont="1" applyFill="1"/>
    <xf numFmtId="164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6" fillId="12" borderId="1" xfId="0" applyNumberFormat="1" applyFont="1" applyFill="1" applyBorder="1" applyAlignment="1">
      <alignment horizontal="center" vertical="center" wrapText="1"/>
    </xf>
    <xf numFmtId="0" fontId="14" fillId="0" borderId="1" xfId="3" applyFont="1" applyBorder="1" applyAlignment="1">
      <alignment wrapText="1"/>
    </xf>
    <xf numFmtId="0" fontId="14" fillId="0" borderId="1" xfId="4" applyFont="1" applyBorder="1" applyAlignment="1">
      <alignment wrapText="1"/>
    </xf>
    <xf numFmtId="0" fontId="17" fillId="0" borderId="1" xfId="5" applyBorder="1" applyAlignment="1">
      <alignment wrapText="1"/>
    </xf>
    <xf numFmtId="0" fontId="3" fillId="0" borderId="6" xfId="0" applyFont="1" applyBorder="1"/>
    <xf numFmtId="0" fontId="3" fillId="0" borderId="5" xfId="0" applyFont="1" applyBorder="1"/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16" fillId="13" borderId="1" xfId="4" applyFont="1" applyFill="1" applyBorder="1" applyAlignment="1">
      <alignment wrapText="1"/>
    </xf>
    <xf numFmtId="0" fontId="8" fillId="9" borderId="0" xfId="0" applyFont="1" applyFill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</cellXfs>
  <cellStyles count="6">
    <cellStyle name="Currency" xfId="1" builtinId="4"/>
    <cellStyle name="Currency [0]" xfId="2" builtinId="7"/>
    <cellStyle name="Currency 2" xfId="4" xr:uid="{00000000-0005-0000-0000-000002000000}"/>
    <cellStyle name="Currency 3" xfId="3" xr:uid="{00000000-0005-0000-0000-000003000000}"/>
    <cellStyle name="Normal" xfId="0" builtinId="0"/>
    <cellStyle name="Normal 2" xfId="5" xr:uid="{00000000-0005-0000-0000-000005000000}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E211"/>
  <sheetViews>
    <sheetView tabSelected="1" zoomScaleNormal="100" workbookViewId="0">
      <pane xSplit="3" ySplit="4" topLeftCell="IX130" activePane="bottomRight" state="frozen"/>
      <selection pane="topRight" activeCell="D1" sqref="D1"/>
      <selection pane="bottomLeft" activeCell="A5" sqref="A5"/>
      <selection pane="bottomRight" activeCell="JH134" sqref="JH134"/>
    </sheetView>
  </sheetViews>
  <sheetFormatPr defaultRowHeight="15" x14ac:dyDescent="0.25"/>
  <cols>
    <col min="1" max="1" width="10.7109375" customWidth="1"/>
    <col min="2" max="2" width="17" customWidth="1"/>
    <col min="3" max="3" width="27.28515625" customWidth="1"/>
    <col min="4" max="240" width="10.7109375" hidden="1" customWidth="1"/>
    <col min="241" max="366" width="10.7109375" bestFit="1" customWidth="1"/>
    <col min="367" max="367" width="10.7109375" customWidth="1"/>
    <col min="368" max="368" width="10.7109375" bestFit="1" customWidth="1"/>
  </cols>
  <sheetData>
    <row r="1" spans="1:369" x14ac:dyDescent="0.25">
      <c r="A1" s="55" t="s">
        <v>171</v>
      </c>
      <c r="B1" s="55"/>
      <c r="C1" s="55"/>
    </row>
    <row r="2" spans="1:369" s="22" customFormat="1" x14ac:dyDescent="0.25">
      <c r="A2" s="56"/>
      <c r="B2" s="56"/>
      <c r="C2" s="56"/>
      <c r="D2" s="24" t="str">
        <f>TEXT(D3,"mm")</f>
        <v>01</v>
      </c>
      <c r="E2" s="24" t="str">
        <f t="shared" ref="E2:BP2" si="0">TEXT(E3,"mm")</f>
        <v>01</v>
      </c>
      <c r="F2" s="24" t="str">
        <f t="shared" si="0"/>
        <v>01</v>
      </c>
      <c r="G2" s="24" t="str">
        <f t="shared" si="0"/>
        <v>01</v>
      </c>
      <c r="H2" s="24" t="str">
        <f>TEXT(H3,"mm")</f>
        <v>01</v>
      </c>
      <c r="I2" s="24" t="str">
        <f t="shared" si="0"/>
        <v>01</v>
      </c>
      <c r="J2" s="24" t="str">
        <f t="shared" si="0"/>
        <v>01</v>
      </c>
      <c r="K2" s="24" t="str">
        <f t="shared" si="0"/>
        <v>01</v>
      </c>
      <c r="L2" s="24" t="str">
        <f t="shared" si="0"/>
        <v>01</v>
      </c>
      <c r="M2" s="24" t="str">
        <f t="shared" si="0"/>
        <v>01</v>
      </c>
      <c r="N2" s="24" t="str">
        <f t="shared" si="0"/>
        <v>01</v>
      </c>
      <c r="O2" s="24" t="str">
        <f t="shared" si="0"/>
        <v>01</v>
      </c>
      <c r="P2" s="24" t="str">
        <f t="shared" si="0"/>
        <v>01</v>
      </c>
      <c r="Q2" s="24" t="str">
        <f t="shared" si="0"/>
        <v>01</v>
      </c>
      <c r="R2" s="24" t="str">
        <f t="shared" si="0"/>
        <v>01</v>
      </c>
      <c r="S2" s="24" t="str">
        <f t="shared" si="0"/>
        <v>01</v>
      </c>
      <c r="T2" s="24" t="str">
        <f t="shared" si="0"/>
        <v>01</v>
      </c>
      <c r="U2" s="24" t="str">
        <f t="shared" si="0"/>
        <v>01</v>
      </c>
      <c r="V2" s="24" t="str">
        <f t="shared" si="0"/>
        <v>01</v>
      </c>
      <c r="W2" s="24" t="str">
        <f t="shared" si="0"/>
        <v>01</v>
      </c>
      <c r="X2" s="24" t="str">
        <f t="shared" si="0"/>
        <v>01</v>
      </c>
      <c r="Y2" s="24" t="str">
        <f t="shared" si="0"/>
        <v>01</v>
      </c>
      <c r="Z2" s="24" t="str">
        <f t="shared" si="0"/>
        <v>01</v>
      </c>
      <c r="AA2" s="24" t="str">
        <f t="shared" si="0"/>
        <v>01</v>
      </c>
      <c r="AB2" s="24" t="str">
        <f t="shared" si="0"/>
        <v>01</v>
      </c>
      <c r="AC2" s="24" t="str">
        <f t="shared" si="0"/>
        <v>01</v>
      </c>
      <c r="AD2" s="24" t="str">
        <f t="shared" si="0"/>
        <v>01</v>
      </c>
      <c r="AE2" s="24" t="str">
        <f t="shared" si="0"/>
        <v>01</v>
      </c>
      <c r="AF2" s="24" t="str">
        <f t="shared" si="0"/>
        <v>01</v>
      </c>
      <c r="AG2" s="24" t="str">
        <f t="shared" si="0"/>
        <v>01</v>
      </c>
      <c r="AH2" s="24" t="str">
        <f t="shared" si="0"/>
        <v>01</v>
      </c>
      <c r="AI2" s="24" t="str">
        <f t="shared" si="0"/>
        <v>02</v>
      </c>
      <c r="AJ2" s="24" t="str">
        <f t="shared" si="0"/>
        <v>02</v>
      </c>
      <c r="AK2" s="24" t="str">
        <f t="shared" si="0"/>
        <v>02</v>
      </c>
      <c r="AL2" s="24" t="str">
        <f t="shared" si="0"/>
        <v>02</v>
      </c>
      <c r="AM2" s="24" t="str">
        <f t="shared" si="0"/>
        <v>02</v>
      </c>
      <c r="AN2" s="24" t="str">
        <f t="shared" si="0"/>
        <v>02</v>
      </c>
      <c r="AO2" s="24" t="str">
        <f t="shared" si="0"/>
        <v>02</v>
      </c>
      <c r="AP2" s="24" t="str">
        <f t="shared" si="0"/>
        <v>02</v>
      </c>
      <c r="AQ2" s="24" t="str">
        <f t="shared" si="0"/>
        <v>02</v>
      </c>
      <c r="AR2" s="24" t="str">
        <f t="shared" si="0"/>
        <v>02</v>
      </c>
      <c r="AS2" s="24" t="str">
        <f t="shared" si="0"/>
        <v>02</v>
      </c>
      <c r="AT2" s="24" t="str">
        <f t="shared" si="0"/>
        <v>02</v>
      </c>
      <c r="AU2" s="24" t="str">
        <f t="shared" si="0"/>
        <v>02</v>
      </c>
      <c r="AV2" s="24" t="str">
        <f t="shared" si="0"/>
        <v>02</v>
      </c>
      <c r="AW2" s="24" t="str">
        <f t="shared" si="0"/>
        <v>02</v>
      </c>
      <c r="AX2" s="24" t="str">
        <f t="shared" si="0"/>
        <v>02</v>
      </c>
      <c r="AY2" s="24" t="str">
        <f t="shared" si="0"/>
        <v>02</v>
      </c>
      <c r="AZ2" s="24" t="str">
        <f t="shared" si="0"/>
        <v>02</v>
      </c>
      <c r="BA2" s="24" t="str">
        <f t="shared" si="0"/>
        <v>02</v>
      </c>
      <c r="BB2" s="24" t="str">
        <f t="shared" si="0"/>
        <v>02</v>
      </c>
      <c r="BC2" s="24" t="str">
        <f t="shared" si="0"/>
        <v>02</v>
      </c>
      <c r="BD2" s="24" t="str">
        <f t="shared" si="0"/>
        <v>02</v>
      </c>
      <c r="BE2" s="24" t="str">
        <f t="shared" si="0"/>
        <v>02</v>
      </c>
      <c r="BF2" s="24" t="str">
        <f t="shared" si="0"/>
        <v>02</v>
      </c>
      <c r="BG2" s="24" t="str">
        <f t="shared" si="0"/>
        <v>02</v>
      </c>
      <c r="BH2" s="24" t="str">
        <f t="shared" si="0"/>
        <v>02</v>
      </c>
      <c r="BI2" s="24" t="str">
        <f t="shared" si="0"/>
        <v>02</v>
      </c>
      <c r="BJ2" s="24" t="str">
        <f t="shared" si="0"/>
        <v>02</v>
      </c>
      <c r="BK2" s="24" t="str">
        <f t="shared" si="0"/>
        <v>03</v>
      </c>
      <c r="BL2" s="24" t="str">
        <f t="shared" si="0"/>
        <v>03</v>
      </c>
      <c r="BM2" s="24" t="str">
        <f t="shared" si="0"/>
        <v>03</v>
      </c>
      <c r="BN2" s="24" t="str">
        <f t="shared" si="0"/>
        <v>03</v>
      </c>
      <c r="BO2" s="24" t="str">
        <f t="shared" si="0"/>
        <v>03</v>
      </c>
      <c r="BP2" s="24" t="str">
        <f t="shared" si="0"/>
        <v>03</v>
      </c>
      <c r="BQ2" s="24" t="str">
        <f t="shared" ref="BQ2:EB2" si="1">TEXT(BQ3,"mm")</f>
        <v>03</v>
      </c>
      <c r="BR2" s="24" t="str">
        <f t="shared" si="1"/>
        <v>03</v>
      </c>
      <c r="BS2" s="24" t="str">
        <f t="shared" si="1"/>
        <v>03</v>
      </c>
      <c r="BT2" s="24" t="str">
        <f t="shared" si="1"/>
        <v>03</v>
      </c>
      <c r="BU2" s="24" t="str">
        <f t="shared" si="1"/>
        <v>03</v>
      </c>
      <c r="BV2" s="24" t="str">
        <f t="shared" si="1"/>
        <v>03</v>
      </c>
      <c r="BW2" s="24" t="str">
        <f t="shared" si="1"/>
        <v>03</v>
      </c>
      <c r="BX2" s="24" t="str">
        <f t="shared" si="1"/>
        <v>03</v>
      </c>
      <c r="BY2" s="24" t="str">
        <f t="shared" si="1"/>
        <v>03</v>
      </c>
      <c r="BZ2" s="24" t="str">
        <f t="shared" si="1"/>
        <v>03</v>
      </c>
      <c r="CA2" s="24" t="str">
        <f t="shared" si="1"/>
        <v>03</v>
      </c>
      <c r="CB2" s="24" t="str">
        <f t="shared" si="1"/>
        <v>03</v>
      </c>
      <c r="CC2" s="24" t="str">
        <f t="shared" si="1"/>
        <v>03</v>
      </c>
      <c r="CD2" s="24" t="str">
        <f t="shared" si="1"/>
        <v>03</v>
      </c>
      <c r="CE2" s="24" t="str">
        <f t="shared" si="1"/>
        <v>03</v>
      </c>
      <c r="CF2" s="24" t="str">
        <f t="shared" si="1"/>
        <v>03</v>
      </c>
      <c r="CG2" s="24" t="str">
        <f t="shared" si="1"/>
        <v>03</v>
      </c>
      <c r="CH2" s="24" t="str">
        <f t="shared" si="1"/>
        <v>03</v>
      </c>
      <c r="CI2" s="24" t="str">
        <f t="shared" si="1"/>
        <v>03</v>
      </c>
      <c r="CJ2" s="24" t="str">
        <f t="shared" si="1"/>
        <v>03</v>
      </c>
      <c r="CK2" s="24" t="str">
        <f t="shared" si="1"/>
        <v>03</v>
      </c>
      <c r="CL2" s="24" t="str">
        <f t="shared" si="1"/>
        <v>03</v>
      </c>
      <c r="CM2" s="24" t="str">
        <f t="shared" si="1"/>
        <v>03</v>
      </c>
      <c r="CN2" s="24" t="str">
        <f t="shared" si="1"/>
        <v>03</v>
      </c>
      <c r="CO2" s="24" t="str">
        <f t="shared" si="1"/>
        <v>03</v>
      </c>
      <c r="CP2" s="24" t="str">
        <f t="shared" si="1"/>
        <v>04</v>
      </c>
      <c r="CQ2" s="24" t="str">
        <f t="shared" si="1"/>
        <v>04</v>
      </c>
      <c r="CR2" s="24" t="str">
        <f t="shared" si="1"/>
        <v>04</v>
      </c>
      <c r="CS2" s="24" t="str">
        <f t="shared" si="1"/>
        <v>04</v>
      </c>
      <c r="CT2" s="24" t="str">
        <f t="shared" si="1"/>
        <v>04</v>
      </c>
      <c r="CU2" s="24" t="str">
        <f t="shared" si="1"/>
        <v>04</v>
      </c>
      <c r="CV2" s="24" t="str">
        <f t="shared" si="1"/>
        <v>04</v>
      </c>
      <c r="CW2" s="24" t="str">
        <f t="shared" si="1"/>
        <v>04</v>
      </c>
      <c r="CX2" s="24" t="str">
        <f t="shared" si="1"/>
        <v>04</v>
      </c>
      <c r="CY2" s="24" t="str">
        <f t="shared" si="1"/>
        <v>04</v>
      </c>
      <c r="CZ2" s="24" t="str">
        <f t="shared" si="1"/>
        <v>04</v>
      </c>
      <c r="DA2" s="24" t="str">
        <f t="shared" si="1"/>
        <v>04</v>
      </c>
      <c r="DB2" s="24" t="str">
        <f t="shared" si="1"/>
        <v>04</v>
      </c>
      <c r="DC2" s="24" t="str">
        <f t="shared" si="1"/>
        <v>04</v>
      </c>
      <c r="DD2" s="24" t="str">
        <f t="shared" si="1"/>
        <v>04</v>
      </c>
      <c r="DE2" s="24" t="str">
        <f t="shared" si="1"/>
        <v>04</v>
      </c>
      <c r="DF2" s="24" t="str">
        <f t="shared" si="1"/>
        <v>04</v>
      </c>
      <c r="DG2" s="24" t="str">
        <f t="shared" si="1"/>
        <v>04</v>
      </c>
      <c r="DH2" s="24" t="str">
        <f t="shared" si="1"/>
        <v>04</v>
      </c>
      <c r="DI2" s="24" t="str">
        <f t="shared" si="1"/>
        <v>04</v>
      </c>
      <c r="DJ2" s="24" t="str">
        <f t="shared" si="1"/>
        <v>04</v>
      </c>
      <c r="DK2" s="24" t="str">
        <f t="shared" si="1"/>
        <v>04</v>
      </c>
      <c r="DL2" s="24" t="str">
        <f t="shared" si="1"/>
        <v>04</v>
      </c>
      <c r="DM2" s="24" t="str">
        <f t="shared" si="1"/>
        <v>04</v>
      </c>
      <c r="DN2" s="24" t="str">
        <f t="shared" si="1"/>
        <v>04</v>
      </c>
      <c r="DO2" s="24" t="str">
        <f t="shared" si="1"/>
        <v>04</v>
      </c>
      <c r="DP2" s="24" t="str">
        <f t="shared" si="1"/>
        <v>04</v>
      </c>
      <c r="DQ2" s="24" t="str">
        <f t="shared" si="1"/>
        <v>04</v>
      </c>
      <c r="DR2" s="24" t="str">
        <f t="shared" si="1"/>
        <v>04</v>
      </c>
      <c r="DS2" s="24" t="str">
        <f t="shared" si="1"/>
        <v>04</v>
      </c>
      <c r="DT2" s="24" t="str">
        <f t="shared" si="1"/>
        <v>05</v>
      </c>
      <c r="DU2" s="24" t="str">
        <f t="shared" si="1"/>
        <v>05</v>
      </c>
      <c r="DV2" s="24" t="str">
        <f t="shared" si="1"/>
        <v>05</v>
      </c>
      <c r="DW2" s="24" t="str">
        <f t="shared" si="1"/>
        <v>05</v>
      </c>
      <c r="DX2" s="24" t="str">
        <f t="shared" si="1"/>
        <v>05</v>
      </c>
      <c r="DY2" s="24" t="str">
        <f t="shared" si="1"/>
        <v>05</v>
      </c>
      <c r="DZ2" s="24" t="str">
        <f t="shared" si="1"/>
        <v>05</v>
      </c>
      <c r="EA2" s="24" t="str">
        <f t="shared" si="1"/>
        <v>05</v>
      </c>
      <c r="EB2" s="24" t="str">
        <f t="shared" si="1"/>
        <v>05</v>
      </c>
      <c r="EC2" s="24" t="str">
        <f t="shared" ref="EC2:GN2" si="2">TEXT(EC3,"mm")</f>
        <v>05</v>
      </c>
      <c r="ED2" s="24" t="str">
        <f t="shared" si="2"/>
        <v>05</v>
      </c>
      <c r="EE2" s="24" t="str">
        <f t="shared" si="2"/>
        <v>05</v>
      </c>
      <c r="EF2" s="24" t="str">
        <f t="shared" si="2"/>
        <v>05</v>
      </c>
      <c r="EG2" s="24" t="str">
        <f t="shared" si="2"/>
        <v>05</v>
      </c>
      <c r="EH2" s="24" t="str">
        <f t="shared" si="2"/>
        <v>05</v>
      </c>
      <c r="EI2" s="24" t="str">
        <f t="shared" si="2"/>
        <v>05</v>
      </c>
      <c r="EJ2" s="24" t="str">
        <f t="shared" si="2"/>
        <v>05</v>
      </c>
      <c r="EK2" s="24" t="str">
        <f t="shared" si="2"/>
        <v>05</v>
      </c>
      <c r="EL2" s="24" t="str">
        <f t="shared" si="2"/>
        <v>05</v>
      </c>
      <c r="EM2" s="24" t="str">
        <f t="shared" si="2"/>
        <v>05</v>
      </c>
      <c r="EN2" s="24" t="str">
        <f t="shared" si="2"/>
        <v>05</v>
      </c>
      <c r="EO2" s="24" t="str">
        <f t="shared" si="2"/>
        <v>05</v>
      </c>
      <c r="EP2" s="24" t="str">
        <f t="shared" si="2"/>
        <v>05</v>
      </c>
      <c r="EQ2" s="24" t="str">
        <f t="shared" si="2"/>
        <v>05</v>
      </c>
      <c r="ER2" s="24" t="str">
        <f t="shared" si="2"/>
        <v>05</v>
      </c>
      <c r="ES2" s="24" t="str">
        <f t="shared" si="2"/>
        <v>05</v>
      </c>
      <c r="ET2" s="24" t="str">
        <f t="shared" si="2"/>
        <v>05</v>
      </c>
      <c r="EU2" s="24" t="str">
        <f t="shared" si="2"/>
        <v>05</v>
      </c>
      <c r="EV2" s="24" t="str">
        <f t="shared" si="2"/>
        <v>05</v>
      </c>
      <c r="EW2" s="24" t="str">
        <f t="shared" si="2"/>
        <v>05</v>
      </c>
      <c r="EX2" s="24" t="str">
        <f t="shared" si="2"/>
        <v>05</v>
      </c>
      <c r="EY2" s="24" t="str">
        <f t="shared" si="2"/>
        <v>06</v>
      </c>
      <c r="EZ2" s="24" t="str">
        <f t="shared" si="2"/>
        <v>06</v>
      </c>
      <c r="FA2" s="24" t="str">
        <f t="shared" si="2"/>
        <v>06</v>
      </c>
      <c r="FB2" s="24" t="str">
        <f t="shared" si="2"/>
        <v>06</v>
      </c>
      <c r="FC2" s="24" t="str">
        <f t="shared" si="2"/>
        <v>06</v>
      </c>
      <c r="FD2" s="24" t="str">
        <f t="shared" si="2"/>
        <v>06</v>
      </c>
      <c r="FE2" s="24" t="str">
        <f t="shared" si="2"/>
        <v>06</v>
      </c>
      <c r="FF2" s="24" t="str">
        <f t="shared" si="2"/>
        <v>06</v>
      </c>
      <c r="FG2" s="24" t="str">
        <f t="shared" si="2"/>
        <v>06</v>
      </c>
      <c r="FH2" s="24" t="str">
        <f t="shared" si="2"/>
        <v>06</v>
      </c>
      <c r="FI2" s="24" t="str">
        <f t="shared" si="2"/>
        <v>06</v>
      </c>
      <c r="FJ2" s="24" t="str">
        <f t="shared" si="2"/>
        <v>06</v>
      </c>
      <c r="FK2" s="24" t="str">
        <f t="shared" si="2"/>
        <v>06</v>
      </c>
      <c r="FL2" s="24" t="str">
        <f t="shared" si="2"/>
        <v>06</v>
      </c>
      <c r="FM2" s="24" t="str">
        <f t="shared" si="2"/>
        <v>06</v>
      </c>
      <c r="FN2" s="24" t="str">
        <f t="shared" si="2"/>
        <v>06</v>
      </c>
      <c r="FO2" s="24" t="str">
        <f t="shared" si="2"/>
        <v>06</v>
      </c>
      <c r="FP2" s="24" t="str">
        <f t="shared" si="2"/>
        <v>06</v>
      </c>
      <c r="FQ2" s="24" t="str">
        <f t="shared" si="2"/>
        <v>06</v>
      </c>
      <c r="FR2" s="24" t="str">
        <f t="shared" si="2"/>
        <v>06</v>
      </c>
      <c r="FS2" s="24" t="str">
        <f t="shared" si="2"/>
        <v>06</v>
      </c>
      <c r="FT2" s="24" t="str">
        <f t="shared" si="2"/>
        <v>06</v>
      </c>
      <c r="FU2" s="24" t="str">
        <f t="shared" si="2"/>
        <v>06</v>
      </c>
      <c r="FV2" s="24" t="str">
        <f t="shared" si="2"/>
        <v>06</v>
      </c>
      <c r="FW2" s="24" t="str">
        <f t="shared" si="2"/>
        <v>06</v>
      </c>
      <c r="FX2" s="24" t="str">
        <f t="shared" si="2"/>
        <v>06</v>
      </c>
      <c r="FY2" s="24" t="str">
        <f t="shared" si="2"/>
        <v>06</v>
      </c>
      <c r="FZ2" s="24" t="str">
        <f t="shared" si="2"/>
        <v>06</v>
      </c>
      <c r="GA2" s="24" t="str">
        <f t="shared" si="2"/>
        <v>06</v>
      </c>
      <c r="GB2" s="24" t="str">
        <f t="shared" si="2"/>
        <v>06</v>
      </c>
      <c r="GC2" s="24" t="str">
        <f t="shared" si="2"/>
        <v>07</v>
      </c>
      <c r="GD2" s="24" t="str">
        <f t="shared" si="2"/>
        <v>07</v>
      </c>
      <c r="GE2" s="24" t="str">
        <f t="shared" si="2"/>
        <v>07</v>
      </c>
      <c r="GF2" s="24" t="str">
        <f t="shared" si="2"/>
        <v>07</v>
      </c>
      <c r="GG2" s="24" t="str">
        <f t="shared" si="2"/>
        <v>07</v>
      </c>
      <c r="GH2" s="24" t="str">
        <f t="shared" si="2"/>
        <v>07</v>
      </c>
      <c r="GI2" s="24" t="str">
        <f t="shared" si="2"/>
        <v>07</v>
      </c>
      <c r="GJ2" s="24" t="str">
        <f t="shared" si="2"/>
        <v>07</v>
      </c>
      <c r="GK2" s="24" t="str">
        <f t="shared" si="2"/>
        <v>07</v>
      </c>
      <c r="GL2" s="24" t="str">
        <f t="shared" si="2"/>
        <v>07</v>
      </c>
      <c r="GM2" s="24" t="str">
        <f t="shared" si="2"/>
        <v>07</v>
      </c>
      <c r="GN2" s="24" t="str">
        <f t="shared" si="2"/>
        <v>07</v>
      </c>
      <c r="GO2" s="24" t="str">
        <f t="shared" ref="GO2:IZ2" si="3">TEXT(GO3,"mm")</f>
        <v>07</v>
      </c>
      <c r="GP2" s="24" t="str">
        <f t="shared" si="3"/>
        <v>07</v>
      </c>
      <c r="GQ2" s="24" t="str">
        <f t="shared" si="3"/>
        <v>07</v>
      </c>
      <c r="GR2" s="24" t="str">
        <f t="shared" si="3"/>
        <v>07</v>
      </c>
      <c r="GS2" s="24" t="str">
        <f t="shared" si="3"/>
        <v>07</v>
      </c>
      <c r="GT2" s="24" t="str">
        <f t="shared" si="3"/>
        <v>07</v>
      </c>
      <c r="GU2" s="24" t="str">
        <f t="shared" si="3"/>
        <v>07</v>
      </c>
      <c r="GV2" s="24" t="str">
        <f t="shared" si="3"/>
        <v>07</v>
      </c>
      <c r="GW2" s="24" t="str">
        <f t="shared" si="3"/>
        <v>07</v>
      </c>
      <c r="GX2" s="24" t="str">
        <f t="shared" si="3"/>
        <v>07</v>
      </c>
      <c r="GY2" s="24" t="str">
        <f t="shared" si="3"/>
        <v>07</v>
      </c>
      <c r="GZ2" s="24" t="str">
        <f t="shared" si="3"/>
        <v>07</v>
      </c>
      <c r="HA2" s="24" t="str">
        <f t="shared" si="3"/>
        <v>07</v>
      </c>
      <c r="HB2" s="24" t="str">
        <f t="shared" si="3"/>
        <v>07</v>
      </c>
      <c r="HC2" s="24" t="str">
        <f t="shared" si="3"/>
        <v>07</v>
      </c>
      <c r="HD2" s="24" t="str">
        <f t="shared" si="3"/>
        <v>07</v>
      </c>
      <c r="HE2" s="24" t="str">
        <f t="shared" si="3"/>
        <v>07</v>
      </c>
      <c r="HF2" s="24" t="str">
        <f t="shared" si="3"/>
        <v>07</v>
      </c>
      <c r="HG2" s="24" t="str">
        <f t="shared" si="3"/>
        <v>07</v>
      </c>
      <c r="HH2" s="24" t="str">
        <f t="shared" si="3"/>
        <v>08</v>
      </c>
      <c r="HI2" s="24" t="str">
        <f t="shared" si="3"/>
        <v>08</v>
      </c>
      <c r="HJ2" s="24" t="str">
        <f t="shared" si="3"/>
        <v>08</v>
      </c>
      <c r="HK2" s="24" t="str">
        <f t="shared" si="3"/>
        <v>08</v>
      </c>
      <c r="HL2" s="24" t="str">
        <f t="shared" si="3"/>
        <v>08</v>
      </c>
      <c r="HM2" s="24" t="str">
        <f t="shared" si="3"/>
        <v>08</v>
      </c>
      <c r="HN2" s="24" t="str">
        <f t="shared" si="3"/>
        <v>08</v>
      </c>
      <c r="HO2" s="24" t="str">
        <f t="shared" si="3"/>
        <v>08</v>
      </c>
      <c r="HP2" s="24" t="str">
        <f t="shared" si="3"/>
        <v>08</v>
      </c>
      <c r="HQ2" s="24" t="str">
        <f t="shared" si="3"/>
        <v>08</v>
      </c>
      <c r="HR2" s="24" t="str">
        <f t="shared" si="3"/>
        <v>08</v>
      </c>
      <c r="HS2" s="24" t="str">
        <f t="shared" si="3"/>
        <v>08</v>
      </c>
      <c r="HT2" s="24" t="str">
        <f t="shared" si="3"/>
        <v>08</v>
      </c>
      <c r="HU2" s="24" t="str">
        <f t="shared" si="3"/>
        <v>08</v>
      </c>
      <c r="HV2" s="24" t="str">
        <f t="shared" si="3"/>
        <v>08</v>
      </c>
      <c r="HW2" s="24" t="str">
        <f t="shared" si="3"/>
        <v>08</v>
      </c>
      <c r="HX2" s="24" t="str">
        <f t="shared" si="3"/>
        <v>08</v>
      </c>
      <c r="HY2" s="24" t="str">
        <f t="shared" si="3"/>
        <v>08</v>
      </c>
      <c r="HZ2" s="24" t="str">
        <f t="shared" si="3"/>
        <v>08</v>
      </c>
      <c r="IA2" s="24" t="str">
        <f t="shared" si="3"/>
        <v>08</v>
      </c>
      <c r="IB2" s="24" t="str">
        <f t="shared" si="3"/>
        <v>08</v>
      </c>
      <c r="IC2" s="24" t="str">
        <f t="shared" si="3"/>
        <v>08</v>
      </c>
      <c r="ID2" s="24" t="str">
        <f t="shared" si="3"/>
        <v>08</v>
      </c>
      <c r="IE2" s="24" t="str">
        <f t="shared" si="3"/>
        <v>08</v>
      </c>
      <c r="IF2" s="24" t="str">
        <f t="shared" si="3"/>
        <v>08</v>
      </c>
      <c r="IG2" s="24" t="str">
        <f t="shared" si="3"/>
        <v>08</v>
      </c>
      <c r="IH2" s="24" t="str">
        <f t="shared" si="3"/>
        <v>08</v>
      </c>
      <c r="II2" s="24" t="str">
        <f t="shared" si="3"/>
        <v>08</v>
      </c>
      <c r="IJ2" s="24" t="str">
        <f t="shared" si="3"/>
        <v>08</v>
      </c>
      <c r="IK2" s="24" t="str">
        <f t="shared" si="3"/>
        <v>08</v>
      </c>
      <c r="IL2" s="24" t="str">
        <f t="shared" si="3"/>
        <v>08</v>
      </c>
      <c r="IM2" s="24" t="str">
        <f t="shared" si="3"/>
        <v>09</v>
      </c>
      <c r="IN2" s="24" t="str">
        <f t="shared" si="3"/>
        <v>09</v>
      </c>
      <c r="IO2" s="24" t="str">
        <f t="shared" si="3"/>
        <v>09</v>
      </c>
      <c r="IP2" s="24" t="str">
        <f t="shared" si="3"/>
        <v>09</v>
      </c>
      <c r="IQ2" s="24" t="str">
        <f t="shared" si="3"/>
        <v>09</v>
      </c>
      <c r="IR2" s="24" t="str">
        <f t="shared" si="3"/>
        <v>09</v>
      </c>
      <c r="IS2" s="24" t="str">
        <f t="shared" si="3"/>
        <v>09</v>
      </c>
      <c r="IT2" s="24" t="str">
        <f t="shared" si="3"/>
        <v>09</v>
      </c>
      <c r="IU2" s="24" t="str">
        <f t="shared" si="3"/>
        <v>09</v>
      </c>
      <c r="IV2" s="24" t="str">
        <f t="shared" si="3"/>
        <v>09</v>
      </c>
      <c r="IW2" s="24" t="str">
        <f t="shared" si="3"/>
        <v>09</v>
      </c>
      <c r="IX2" s="24" t="str">
        <f t="shared" si="3"/>
        <v>09</v>
      </c>
      <c r="IY2" s="24" t="str">
        <f t="shared" si="3"/>
        <v>09</v>
      </c>
      <c r="IZ2" s="24" t="str">
        <f t="shared" si="3"/>
        <v>09</v>
      </c>
      <c r="JA2" s="24" t="str">
        <f t="shared" ref="JA2:LL2" si="4">TEXT(JA3,"mm")</f>
        <v>09</v>
      </c>
      <c r="JB2" s="24" t="str">
        <f t="shared" si="4"/>
        <v>09</v>
      </c>
      <c r="JC2" s="24" t="str">
        <f t="shared" si="4"/>
        <v>09</v>
      </c>
      <c r="JD2" s="24" t="str">
        <f t="shared" si="4"/>
        <v>09</v>
      </c>
      <c r="JE2" s="24" t="str">
        <f t="shared" si="4"/>
        <v>09</v>
      </c>
      <c r="JF2" s="24" t="str">
        <f t="shared" si="4"/>
        <v>09</v>
      </c>
      <c r="JG2" s="24" t="str">
        <f t="shared" si="4"/>
        <v>09</v>
      </c>
      <c r="JH2" s="24" t="str">
        <f t="shared" si="4"/>
        <v>09</v>
      </c>
      <c r="JI2" s="24" t="str">
        <f t="shared" si="4"/>
        <v>09</v>
      </c>
      <c r="JJ2" s="24" t="str">
        <f t="shared" si="4"/>
        <v>09</v>
      </c>
      <c r="JK2" s="24" t="str">
        <f t="shared" si="4"/>
        <v>09</v>
      </c>
      <c r="JL2" s="24" t="str">
        <f t="shared" si="4"/>
        <v>09</v>
      </c>
      <c r="JM2" s="24" t="str">
        <f t="shared" si="4"/>
        <v>09</v>
      </c>
      <c r="JN2" s="24" t="str">
        <f t="shared" si="4"/>
        <v>09</v>
      </c>
      <c r="JO2" s="24" t="str">
        <f t="shared" si="4"/>
        <v>09</v>
      </c>
      <c r="JP2" s="24" t="str">
        <f t="shared" si="4"/>
        <v>09</v>
      </c>
      <c r="JQ2" s="24" t="str">
        <f t="shared" si="4"/>
        <v>10</v>
      </c>
      <c r="JR2" s="24" t="str">
        <f t="shared" si="4"/>
        <v>10</v>
      </c>
      <c r="JS2" s="24" t="str">
        <f t="shared" si="4"/>
        <v>10</v>
      </c>
      <c r="JT2" s="24" t="str">
        <f t="shared" si="4"/>
        <v>10</v>
      </c>
      <c r="JU2" s="24" t="str">
        <f t="shared" si="4"/>
        <v>10</v>
      </c>
      <c r="JV2" s="24" t="str">
        <f t="shared" si="4"/>
        <v>10</v>
      </c>
      <c r="JW2" s="24" t="str">
        <f t="shared" si="4"/>
        <v>10</v>
      </c>
      <c r="JX2" s="24" t="str">
        <f t="shared" si="4"/>
        <v>10</v>
      </c>
      <c r="JY2" s="24" t="str">
        <f t="shared" si="4"/>
        <v>10</v>
      </c>
      <c r="JZ2" s="24" t="str">
        <f t="shared" si="4"/>
        <v>10</v>
      </c>
      <c r="KA2" s="24" t="str">
        <f t="shared" si="4"/>
        <v>10</v>
      </c>
      <c r="KB2" s="24" t="str">
        <f t="shared" si="4"/>
        <v>10</v>
      </c>
      <c r="KC2" s="24" t="str">
        <f t="shared" si="4"/>
        <v>10</v>
      </c>
      <c r="KD2" s="24" t="str">
        <f t="shared" si="4"/>
        <v>10</v>
      </c>
      <c r="KE2" s="24" t="str">
        <f t="shared" si="4"/>
        <v>10</v>
      </c>
      <c r="KF2" s="24" t="str">
        <f t="shared" si="4"/>
        <v>10</v>
      </c>
      <c r="KG2" s="24" t="str">
        <f t="shared" si="4"/>
        <v>10</v>
      </c>
      <c r="KH2" s="24" t="str">
        <f t="shared" si="4"/>
        <v>10</v>
      </c>
      <c r="KI2" s="24" t="str">
        <f t="shared" si="4"/>
        <v>10</v>
      </c>
      <c r="KJ2" s="24" t="str">
        <f t="shared" si="4"/>
        <v>10</v>
      </c>
      <c r="KK2" s="24" t="str">
        <f t="shared" si="4"/>
        <v>10</v>
      </c>
      <c r="KL2" s="24" t="str">
        <f t="shared" si="4"/>
        <v>10</v>
      </c>
      <c r="KM2" s="24" t="str">
        <f t="shared" si="4"/>
        <v>10</v>
      </c>
      <c r="KN2" s="24" t="str">
        <f t="shared" si="4"/>
        <v>10</v>
      </c>
      <c r="KO2" s="24" t="str">
        <f t="shared" si="4"/>
        <v>10</v>
      </c>
      <c r="KP2" s="24" t="str">
        <f t="shared" si="4"/>
        <v>10</v>
      </c>
      <c r="KQ2" s="24" t="str">
        <f t="shared" si="4"/>
        <v>10</v>
      </c>
      <c r="KR2" s="24" t="str">
        <f t="shared" si="4"/>
        <v>10</v>
      </c>
      <c r="KS2" s="24" t="str">
        <f t="shared" si="4"/>
        <v>10</v>
      </c>
      <c r="KT2" s="24" t="str">
        <f t="shared" si="4"/>
        <v>10</v>
      </c>
      <c r="KU2" s="24" t="str">
        <f t="shared" si="4"/>
        <v>10</v>
      </c>
      <c r="KV2" s="24" t="str">
        <f t="shared" si="4"/>
        <v>11</v>
      </c>
      <c r="KW2" s="24" t="str">
        <f t="shared" si="4"/>
        <v>11</v>
      </c>
      <c r="KX2" s="24" t="str">
        <f t="shared" si="4"/>
        <v>11</v>
      </c>
      <c r="KY2" s="24" t="str">
        <f t="shared" si="4"/>
        <v>11</v>
      </c>
      <c r="KZ2" s="24" t="str">
        <f t="shared" si="4"/>
        <v>11</v>
      </c>
      <c r="LA2" s="24" t="str">
        <f t="shared" si="4"/>
        <v>11</v>
      </c>
      <c r="LB2" s="24" t="str">
        <f t="shared" si="4"/>
        <v>11</v>
      </c>
      <c r="LC2" s="24" t="str">
        <f t="shared" si="4"/>
        <v>11</v>
      </c>
      <c r="LD2" s="24" t="str">
        <f t="shared" si="4"/>
        <v>11</v>
      </c>
      <c r="LE2" s="24" t="str">
        <f t="shared" si="4"/>
        <v>11</v>
      </c>
      <c r="LF2" s="24" t="str">
        <f t="shared" si="4"/>
        <v>11</v>
      </c>
      <c r="LG2" s="24" t="str">
        <f t="shared" si="4"/>
        <v>11</v>
      </c>
      <c r="LH2" s="24" t="str">
        <f t="shared" si="4"/>
        <v>11</v>
      </c>
      <c r="LI2" s="24" t="str">
        <f t="shared" si="4"/>
        <v>11</v>
      </c>
      <c r="LJ2" s="24" t="str">
        <f t="shared" si="4"/>
        <v>11</v>
      </c>
      <c r="LK2" s="24" t="str">
        <f t="shared" si="4"/>
        <v>11</v>
      </c>
      <c r="LL2" s="24" t="str">
        <f t="shared" si="4"/>
        <v>11</v>
      </c>
      <c r="LM2" s="24" t="str">
        <f t="shared" ref="LM2:ND2" si="5">TEXT(LM3,"mm")</f>
        <v>11</v>
      </c>
      <c r="LN2" s="24" t="str">
        <f t="shared" si="5"/>
        <v>11</v>
      </c>
      <c r="LO2" s="24" t="str">
        <f t="shared" si="5"/>
        <v>11</v>
      </c>
      <c r="LP2" s="24" t="str">
        <f t="shared" si="5"/>
        <v>11</v>
      </c>
      <c r="LQ2" s="24" t="str">
        <f t="shared" si="5"/>
        <v>11</v>
      </c>
      <c r="LR2" s="24" t="str">
        <f t="shared" si="5"/>
        <v>11</v>
      </c>
      <c r="LS2" s="24" t="str">
        <f t="shared" si="5"/>
        <v>11</v>
      </c>
      <c r="LT2" s="24" t="str">
        <f t="shared" si="5"/>
        <v>11</v>
      </c>
      <c r="LU2" s="24" t="str">
        <f t="shared" si="5"/>
        <v>11</v>
      </c>
      <c r="LV2" s="24" t="str">
        <f t="shared" si="5"/>
        <v>11</v>
      </c>
      <c r="LW2" s="24" t="str">
        <f t="shared" si="5"/>
        <v>11</v>
      </c>
      <c r="LX2" s="24" t="str">
        <f t="shared" si="5"/>
        <v>11</v>
      </c>
      <c r="LY2" s="24" t="str">
        <f t="shared" si="5"/>
        <v>11</v>
      </c>
      <c r="LZ2" s="24" t="str">
        <f t="shared" si="5"/>
        <v>12</v>
      </c>
      <c r="MA2" s="24" t="str">
        <f t="shared" si="5"/>
        <v>12</v>
      </c>
      <c r="MB2" s="24" t="str">
        <f t="shared" si="5"/>
        <v>12</v>
      </c>
      <c r="MC2" s="24" t="str">
        <f t="shared" si="5"/>
        <v>12</v>
      </c>
      <c r="MD2" s="24" t="str">
        <f t="shared" si="5"/>
        <v>12</v>
      </c>
      <c r="ME2" s="24" t="str">
        <f t="shared" si="5"/>
        <v>12</v>
      </c>
      <c r="MF2" s="24" t="str">
        <f t="shared" si="5"/>
        <v>12</v>
      </c>
      <c r="MG2" s="24" t="str">
        <f t="shared" si="5"/>
        <v>12</v>
      </c>
      <c r="MH2" s="24" t="str">
        <f t="shared" si="5"/>
        <v>12</v>
      </c>
      <c r="MI2" s="24" t="str">
        <f t="shared" si="5"/>
        <v>12</v>
      </c>
      <c r="MJ2" s="24" t="str">
        <f t="shared" si="5"/>
        <v>12</v>
      </c>
      <c r="MK2" s="24" t="str">
        <f t="shared" si="5"/>
        <v>12</v>
      </c>
      <c r="ML2" s="24" t="str">
        <f t="shared" si="5"/>
        <v>12</v>
      </c>
      <c r="MM2" s="24" t="str">
        <f t="shared" si="5"/>
        <v>12</v>
      </c>
      <c r="MN2" s="24" t="str">
        <f t="shared" si="5"/>
        <v>12</v>
      </c>
      <c r="MO2" s="24" t="str">
        <f t="shared" si="5"/>
        <v>12</v>
      </c>
      <c r="MP2" s="24" t="str">
        <f t="shared" si="5"/>
        <v>12</v>
      </c>
      <c r="MQ2" s="24" t="str">
        <f t="shared" si="5"/>
        <v>12</v>
      </c>
      <c r="MR2" s="24" t="str">
        <f t="shared" si="5"/>
        <v>12</v>
      </c>
      <c r="MS2" s="24" t="str">
        <f t="shared" si="5"/>
        <v>12</v>
      </c>
      <c r="MT2" s="24" t="str">
        <f t="shared" si="5"/>
        <v>12</v>
      </c>
      <c r="MU2" s="24" t="str">
        <f t="shared" si="5"/>
        <v>12</v>
      </c>
      <c r="MV2" s="24" t="str">
        <f t="shared" si="5"/>
        <v>12</v>
      </c>
      <c r="MW2" s="24" t="str">
        <f t="shared" si="5"/>
        <v>12</v>
      </c>
      <c r="MX2" s="24" t="str">
        <f t="shared" si="5"/>
        <v>12</v>
      </c>
      <c r="MY2" s="24" t="str">
        <f t="shared" si="5"/>
        <v>12</v>
      </c>
      <c r="MZ2" s="24" t="str">
        <f t="shared" si="5"/>
        <v>12</v>
      </c>
      <c r="NA2" s="24" t="str">
        <f t="shared" si="5"/>
        <v>12</v>
      </c>
      <c r="NB2" s="24" t="str">
        <f t="shared" si="5"/>
        <v>12</v>
      </c>
      <c r="NC2" s="24" t="str">
        <f t="shared" si="5"/>
        <v>12</v>
      </c>
      <c r="ND2" s="24" t="str">
        <f t="shared" si="5"/>
        <v>12</v>
      </c>
      <c r="NE2" s="25" t="s">
        <v>13</v>
      </c>
    </row>
    <row r="3" spans="1:369" s="6" customFormat="1" x14ac:dyDescent="0.25">
      <c r="A3" s="7" t="s">
        <v>0</v>
      </c>
      <c r="B3" s="9" t="s">
        <v>132</v>
      </c>
      <c r="C3" s="9" t="s">
        <v>1</v>
      </c>
      <c r="D3" s="37">
        <v>46023</v>
      </c>
      <c r="E3" s="8">
        <v>46024</v>
      </c>
      <c r="F3" s="8">
        <v>46025</v>
      </c>
      <c r="G3" s="37">
        <v>46026</v>
      </c>
      <c r="H3" s="8">
        <v>46027</v>
      </c>
      <c r="I3" s="8">
        <v>46028</v>
      </c>
      <c r="J3" s="8">
        <v>46029</v>
      </c>
      <c r="K3" s="8">
        <v>46030</v>
      </c>
      <c r="L3" s="8">
        <v>46031</v>
      </c>
      <c r="M3" s="8">
        <v>46032</v>
      </c>
      <c r="N3" s="37">
        <v>46033</v>
      </c>
      <c r="O3" s="8">
        <v>46034</v>
      </c>
      <c r="P3" s="8">
        <v>46035</v>
      </c>
      <c r="Q3" s="8">
        <v>46036</v>
      </c>
      <c r="R3" s="8">
        <v>46037</v>
      </c>
      <c r="S3" s="37">
        <v>46038</v>
      </c>
      <c r="T3" s="8">
        <v>46039</v>
      </c>
      <c r="U3" s="37">
        <v>46040</v>
      </c>
      <c r="V3" s="8">
        <v>46041</v>
      </c>
      <c r="W3" s="8">
        <v>46042</v>
      </c>
      <c r="X3" s="8">
        <v>46043</v>
      </c>
      <c r="Y3" s="8">
        <v>46044</v>
      </c>
      <c r="Z3" s="8">
        <v>46045</v>
      </c>
      <c r="AA3" s="8">
        <v>46046</v>
      </c>
      <c r="AB3" s="37">
        <v>46047</v>
      </c>
      <c r="AC3" s="8">
        <v>46048</v>
      </c>
      <c r="AD3" s="8">
        <v>46049</v>
      </c>
      <c r="AE3" s="8">
        <v>46050</v>
      </c>
      <c r="AF3" s="8">
        <v>46051</v>
      </c>
      <c r="AG3" s="8">
        <v>46052</v>
      </c>
      <c r="AH3" s="8">
        <v>46053</v>
      </c>
      <c r="AI3" s="37">
        <v>46054</v>
      </c>
      <c r="AJ3" s="8">
        <v>46055</v>
      </c>
      <c r="AK3" s="8">
        <v>46056</v>
      </c>
      <c r="AL3" s="8">
        <v>46057</v>
      </c>
      <c r="AM3" s="8">
        <v>46058</v>
      </c>
      <c r="AN3" s="8">
        <v>46059</v>
      </c>
      <c r="AO3" s="8">
        <v>46060</v>
      </c>
      <c r="AP3" s="37">
        <v>46061</v>
      </c>
      <c r="AQ3" s="8">
        <v>46062</v>
      </c>
      <c r="AR3" s="8">
        <v>46063</v>
      </c>
      <c r="AS3" s="8">
        <v>46064</v>
      </c>
      <c r="AT3" s="8">
        <v>46065</v>
      </c>
      <c r="AU3" s="8">
        <v>46066</v>
      </c>
      <c r="AV3" s="8">
        <v>46067</v>
      </c>
      <c r="AW3" s="37">
        <v>46068</v>
      </c>
      <c r="AX3" s="8">
        <v>46069</v>
      </c>
      <c r="AY3" s="37">
        <v>46070</v>
      </c>
      <c r="AZ3" s="8">
        <v>46071</v>
      </c>
      <c r="BA3" s="8">
        <v>46072</v>
      </c>
      <c r="BB3" s="8">
        <v>46073</v>
      </c>
      <c r="BC3" s="8">
        <v>46074</v>
      </c>
      <c r="BD3" s="37">
        <v>46075</v>
      </c>
      <c r="BE3" s="8">
        <v>46076</v>
      </c>
      <c r="BF3" s="8">
        <v>46077</v>
      </c>
      <c r="BG3" s="8">
        <v>46078</v>
      </c>
      <c r="BH3" s="8">
        <v>46079</v>
      </c>
      <c r="BI3" s="8">
        <v>46080</v>
      </c>
      <c r="BJ3" s="8">
        <v>46081</v>
      </c>
      <c r="BK3" s="8">
        <v>46082</v>
      </c>
      <c r="BL3" s="8">
        <v>46083</v>
      </c>
      <c r="BM3" s="8">
        <v>46084</v>
      </c>
      <c r="BN3" s="8">
        <v>46085</v>
      </c>
      <c r="BO3" s="8">
        <v>46086</v>
      </c>
      <c r="BP3" s="8">
        <v>46087</v>
      </c>
      <c r="BQ3" s="8">
        <v>46088</v>
      </c>
      <c r="BR3" s="8">
        <v>46089</v>
      </c>
      <c r="BS3" s="8">
        <v>46090</v>
      </c>
      <c r="BT3" s="8">
        <v>46091</v>
      </c>
      <c r="BU3" s="8">
        <v>46092</v>
      </c>
      <c r="BV3" s="8">
        <v>46093</v>
      </c>
      <c r="BW3" s="8">
        <v>46094</v>
      </c>
      <c r="BX3" s="8">
        <v>46095</v>
      </c>
      <c r="BY3" s="8">
        <v>46096</v>
      </c>
      <c r="BZ3" s="8">
        <v>46097</v>
      </c>
      <c r="CA3" s="8">
        <v>46098</v>
      </c>
      <c r="CB3" s="8">
        <v>46099</v>
      </c>
      <c r="CC3" s="37">
        <v>46100</v>
      </c>
      <c r="CD3" s="37">
        <v>46101</v>
      </c>
      <c r="CE3" s="37">
        <v>46102</v>
      </c>
      <c r="CF3" s="37">
        <v>46103</v>
      </c>
      <c r="CG3" s="37">
        <v>46104</v>
      </c>
      <c r="CH3" s="37">
        <v>46105</v>
      </c>
      <c r="CI3" s="37">
        <v>46106</v>
      </c>
      <c r="CJ3" s="37">
        <v>46107</v>
      </c>
      <c r="CK3" s="37">
        <v>46108</v>
      </c>
      <c r="CL3" s="37">
        <v>46109</v>
      </c>
      <c r="CM3" s="37">
        <v>46110</v>
      </c>
      <c r="CN3" s="8">
        <v>46111</v>
      </c>
      <c r="CO3" s="8">
        <v>46112</v>
      </c>
      <c r="CP3" s="8">
        <v>46113</v>
      </c>
      <c r="CQ3" s="8">
        <v>46114</v>
      </c>
      <c r="CR3" s="8">
        <v>46115</v>
      </c>
      <c r="CS3" s="8">
        <v>46116</v>
      </c>
      <c r="CT3" s="8">
        <v>46117</v>
      </c>
      <c r="CU3" s="8">
        <v>46118</v>
      </c>
      <c r="CV3" s="8">
        <v>46119</v>
      </c>
      <c r="CW3" s="8">
        <v>46120</v>
      </c>
      <c r="CX3" s="8">
        <v>46121</v>
      </c>
      <c r="CY3" s="8">
        <v>46122</v>
      </c>
      <c r="CZ3" s="8">
        <v>46123</v>
      </c>
      <c r="DA3" s="8">
        <v>46124</v>
      </c>
      <c r="DB3" s="8">
        <v>46125</v>
      </c>
      <c r="DC3" s="8">
        <v>46126</v>
      </c>
      <c r="DD3" s="8">
        <v>46127</v>
      </c>
      <c r="DE3" s="8">
        <v>46128</v>
      </c>
      <c r="DF3" s="8">
        <v>46129</v>
      </c>
      <c r="DG3" s="8">
        <v>46130</v>
      </c>
      <c r="DH3" s="8">
        <v>46131</v>
      </c>
      <c r="DI3" s="8">
        <v>46132</v>
      </c>
      <c r="DJ3" s="8">
        <v>46133</v>
      </c>
      <c r="DK3" s="8">
        <v>46134</v>
      </c>
      <c r="DL3" s="8">
        <v>46135</v>
      </c>
      <c r="DM3" s="8">
        <v>46136</v>
      </c>
      <c r="DN3" s="8">
        <v>46137</v>
      </c>
      <c r="DO3" s="8">
        <v>46138</v>
      </c>
      <c r="DP3" s="8">
        <v>46139</v>
      </c>
      <c r="DQ3" s="8">
        <v>46140</v>
      </c>
      <c r="DR3" s="8">
        <v>46141</v>
      </c>
      <c r="DS3" s="8">
        <v>46142</v>
      </c>
      <c r="DT3" s="8">
        <v>46143</v>
      </c>
      <c r="DU3" s="8">
        <v>46144</v>
      </c>
      <c r="DV3" s="8">
        <v>46145</v>
      </c>
      <c r="DW3" s="8">
        <v>46146</v>
      </c>
      <c r="DX3" s="8">
        <v>46147</v>
      </c>
      <c r="DY3" s="8">
        <v>46148</v>
      </c>
      <c r="DZ3" s="8">
        <v>46149</v>
      </c>
      <c r="EA3" s="8">
        <v>46150</v>
      </c>
      <c r="EB3" s="8">
        <v>46151</v>
      </c>
      <c r="EC3" s="8">
        <v>46152</v>
      </c>
      <c r="ED3" s="8">
        <v>46153</v>
      </c>
      <c r="EE3" s="8">
        <v>46154</v>
      </c>
      <c r="EF3" s="8">
        <v>46155</v>
      </c>
      <c r="EG3" s="8">
        <v>46156</v>
      </c>
      <c r="EH3" s="8">
        <v>46157</v>
      </c>
      <c r="EI3" s="8">
        <v>46158</v>
      </c>
      <c r="EJ3" s="8">
        <v>46159</v>
      </c>
      <c r="EK3" s="8">
        <v>46160</v>
      </c>
      <c r="EL3" s="8">
        <v>46161</v>
      </c>
      <c r="EM3" s="8">
        <v>46162</v>
      </c>
      <c r="EN3" s="8">
        <v>46163</v>
      </c>
      <c r="EO3" s="8">
        <v>46164</v>
      </c>
      <c r="EP3" s="8">
        <v>46165</v>
      </c>
      <c r="EQ3" s="8">
        <v>46166</v>
      </c>
      <c r="ER3" s="8">
        <v>46167</v>
      </c>
      <c r="ES3" s="8">
        <v>46168</v>
      </c>
      <c r="ET3" s="8">
        <v>46169</v>
      </c>
      <c r="EU3" s="8">
        <v>46170</v>
      </c>
      <c r="EV3" s="8">
        <v>46171</v>
      </c>
      <c r="EW3" s="8">
        <v>46172</v>
      </c>
      <c r="EX3" s="8">
        <v>46173</v>
      </c>
      <c r="EY3" s="8">
        <v>46174</v>
      </c>
      <c r="EZ3" s="8">
        <v>46175</v>
      </c>
      <c r="FA3" s="8">
        <v>46176</v>
      </c>
      <c r="FB3" s="8">
        <v>46177</v>
      </c>
      <c r="FC3" s="8">
        <v>46178</v>
      </c>
      <c r="FD3" s="8">
        <v>46179</v>
      </c>
      <c r="FE3" s="8">
        <v>46180</v>
      </c>
      <c r="FF3" s="8">
        <v>46181</v>
      </c>
      <c r="FG3" s="8">
        <v>46182</v>
      </c>
      <c r="FH3" s="8">
        <v>46183</v>
      </c>
      <c r="FI3" s="8">
        <v>46184</v>
      </c>
      <c r="FJ3" s="8">
        <v>46185</v>
      </c>
      <c r="FK3" s="8">
        <v>46186</v>
      </c>
      <c r="FL3" s="8">
        <v>46187</v>
      </c>
      <c r="FM3" s="8">
        <v>46188</v>
      </c>
      <c r="FN3" s="8">
        <v>46189</v>
      </c>
      <c r="FO3" s="8">
        <v>46190</v>
      </c>
      <c r="FP3" s="8">
        <v>46191</v>
      </c>
      <c r="FQ3" s="8">
        <v>46192</v>
      </c>
      <c r="FR3" s="8">
        <v>46193</v>
      </c>
      <c r="FS3" s="8">
        <v>46194</v>
      </c>
      <c r="FT3" s="8">
        <v>46195</v>
      </c>
      <c r="FU3" s="8">
        <v>46196</v>
      </c>
      <c r="FV3" s="8">
        <v>46197</v>
      </c>
      <c r="FW3" s="8">
        <v>46198</v>
      </c>
      <c r="FX3" s="8">
        <v>46199</v>
      </c>
      <c r="FY3" s="8">
        <v>46200</v>
      </c>
      <c r="FZ3" s="8">
        <v>46201</v>
      </c>
      <c r="GA3" s="8">
        <v>46202</v>
      </c>
      <c r="GB3" s="8">
        <v>46203</v>
      </c>
      <c r="GC3" s="8">
        <v>46204</v>
      </c>
      <c r="GD3" s="8">
        <v>46205</v>
      </c>
      <c r="GE3" s="8">
        <v>46206</v>
      </c>
      <c r="GF3" s="8">
        <v>46207</v>
      </c>
      <c r="GG3" s="8">
        <v>46208</v>
      </c>
      <c r="GH3" s="8">
        <v>46209</v>
      </c>
      <c r="GI3" s="8">
        <v>46210</v>
      </c>
      <c r="GJ3" s="8">
        <v>46211</v>
      </c>
      <c r="GK3" s="8">
        <v>46212</v>
      </c>
      <c r="GL3" s="8">
        <v>46213</v>
      </c>
      <c r="GM3" s="8">
        <v>46214</v>
      </c>
      <c r="GN3" s="8">
        <v>46215</v>
      </c>
      <c r="GO3" s="8">
        <v>46216</v>
      </c>
      <c r="GP3" s="8">
        <v>46217</v>
      </c>
      <c r="GQ3" s="8">
        <v>46218</v>
      </c>
      <c r="GR3" s="8">
        <v>46219</v>
      </c>
      <c r="GS3" s="8">
        <v>46220</v>
      </c>
      <c r="GT3" s="8">
        <v>46221</v>
      </c>
      <c r="GU3" s="8">
        <v>46222</v>
      </c>
      <c r="GV3" s="8">
        <v>46223</v>
      </c>
      <c r="GW3" s="8">
        <v>46224</v>
      </c>
      <c r="GX3" s="8">
        <v>46225</v>
      </c>
      <c r="GY3" s="8">
        <v>46226</v>
      </c>
      <c r="GZ3" s="8">
        <v>46227</v>
      </c>
      <c r="HA3" s="8">
        <v>46228</v>
      </c>
      <c r="HB3" s="8">
        <v>46229</v>
      </c>
      <c r="HC3" s="8">
        <v>46230</v>
      </c>
      <c r="HD3" s="8">
        <v>46231</v>
      </c>
      <c r="HE3" s="8">
        <v>46232</v>
      </c>
      <c r="HF3" s="8">
        <v>46233</v>
      </c>
      <c r="HG3" s="8">
        <v>46234</v>
      </c>
      <c r="HH3" s="8">
        <v>46235</v>
      </c>
      <c r="HI3" s="8">
        <v>46236</v>
      </c>
      <c r="HJ3" s="8">
        <v>46237</v>
      </c>
      <c r="HK3" s="8">
        <v>46238</v>
      </c>
      <c r="HL3" s="8">
        <v>46239</v>
      </c>
      <c r="HM3" s="8">
        <v>46240</v>
      </c>
      <c r="HN3" s="8">
        <v>46241</v>
      </c>
      <c r="HO3" s="8">
        <v>46242</v>
      </c>
      <c r="HP3" s="8">
        <v>46243</v>
      </c>
      <c r="HQ3" s="8">
        <v>46244</v>
      </c>
      <c r="HR3" s="8">
        <v>46245</v>
      </c>
      <c r="HS3" s="8">
        <v>46246</v>
      </c>
      <c r="HT3" s="8">
        <v>46247</v>
      </c>
      <c r="HU3" s="8">
        <v>46248</v>
      </c>
      <c r="HV3" s="8">
        <v>46249</v>
      </c>
      <c r="HW3" s="8">
        <v>46250</v>
      </c>
      <c r="HX3" s="8">
        <v>46251</v>
      </c>
      <c r="HY3" s="8">
        <v>46252</v>
      </c>
      <c r="HZ3" s="8">
        <v>46253</v>
      </c>
      <c r="IA3" s="8">
        <v>46254</v>
      </c>
      <c r="IB3" s="8">
        <v>46255</v>
      </c>
      <c r="IC3" s="8">
        <v>46256</v>
      </c>
      <c r="ID3" s="8">
        <v>46257</v>
      </c>
      <c r="IE3" s="8">
        <v>46258</v>
      </c>
      <c r="IF3" s="8">
        <v>46259</v>
      </c>
      <c r="IG3" s="8">
        <v>46260</v>
      </c>
      <c r="IH3" s="8">
        <v>46261</v>
      </c>
      <c r="II3" s="8">
        <v>46262</v>
      </c>
      <c r="IJ3" s="8">
        <v>46263</v>
      </c>
      <c r="IK3" s="8">
        <v>46264</v>
      </c>
      <c r="IL3" s="8">
        <v>46265</v>
      </c>
      <c r="IM3" s="8">
        <v>46266</v>
      </c>
      <c r="IN3" s="8">
        <v>46267</v>
      </c>
      <c r="IO3" s="8">
        <v>46268</v>
      </c>
      <c r="IP3" s="8">
        <v>46269</v>
      </c>
      <c r="IQ3" s="8">
        <v>46270</v>
      </c>
      <c r="IR3" s="8">
        <v>46271</v>
      </c>
      <c r="IS3" s="8">
        <v>46272</v>
      </c>
      <c r="IT3" s="8">
        <v>46273</v>
      </c>
      <c r="IU3" s="8">
        <v>46274</v>
      </c>
      <c r="IV3" s="8">
        <v>46275</v>
      </c>
      <c r="IW3" s="8">
        <v>46276</v>
      </c>
      <c r="IX3" s="8">
        <v>46277</v>
      </c>
      <c r="IY3" s="8">
        <v>46278</v>
      </c>
      <c r="IZ3" s="8">
        <v>46279</v>
      </c>
      <c r="JA3" s="8">
        <v>46280</v>
      </c>
      <c r="JB3" s="8">
        <v>46281</v>
      </c>
      <c r="JC3" s="8">
        <v>46282</v>
      </c>
      <c r="JD3" s="8">
        <v>46283</v>
      </c>
      <c r="JE3" s="8">
        <v>46284</v>
      </c>
      <c r="JF3" s="8">
        <v>46285</v>
      </c>
      <c r="JG3" s="8">
        <v>46286</v>
      </c>
      <c r="JH3" s="8">
        <v>46287</v>
      </c>
      <c r="JI3" s="8">
        <v>46288</v>
      </c>
      <c r="JJ3" s="8">
        <v>46289</v>
      </c>
      <c r="JK3" s="8">
        <v>46290</v>
      </c>
      <c r="JL3" s="8">
        <v>46291</v>
      </c>
      <c r="JM3" s="8">
        <v>46292</v>
      </c>
      <c r="JN3" s="8">
        <v>46293</v>
      </c>
      <c r="JO3" s="8">
        <v>46294</v>
      </c>
      <c r="JP3" s="8">
        <v>46295</v>
      </c>
      <c r="JQ3" s="8">
        <v>46296</v>
      </c>
      <c r="JR3" s="8">
        <v>46297</v>
      </c>
      <c r="JS3" s="8">
        <v>46298</v>
      </c>
      <c r="JT3" s="8">
        <v>46299</v>
      </c>
      <c r="JU3" s="8">
        <v>46300</v>
      </c>
      <c r="JV3" s="8">
        <v>46301</v>
      </c>
      <c r="JW3" s="8">
        <v>46302</v>
      </c>
      <c r="JX3" s="8">
        <v>46303</v>
      </c>
      <c r="JY3" s="8">
        <v>46304</v>
      </c>
      <c r="JZ3" s="8">
        <v>46305</v>
      </c>
      <c r="KA3" s="8">
        <v>46306</v>
      </c>
      <c r="KB3" s="8">
        <v>46307</v>
      </c>
      <c r="KC3" s="8">
        <v>46308</v>
      </c>
      <c r="KD3" s="8">
        <v>46309</v>
      </c>
      <c r="KE3" s="8">
        <v>46310</v>
      </c>
      <c r="KF3" s="8">
        <v>46311</v>
      </c>
      <c r="KG3" s="8">
        <v>46312</v>
      </c>
      <c r="KH3" s="8">
        <v>46313</v>
      </c>
      <c r="KI3" s="8">
        <v>46314</v>
      </c>
      <c r="KJ3" s="8">
        <v>46315</v>
      </c>
      <c r="KK3" s="8">
        <v>46316</v>
      </c>
      <c r="KL3" s="8">
        <v>46317</v>
      </c>
      <c r="KM3" s="8">
        <v>46318</v>
      </c>
      <c r="KN3" s="8">
        <v>46319</v>
      </c>
      <c r="KO3" s="8">
        <v>46320</v>
      </c>
      <c r="KP3" s="8">
        <v>46321</v>
      </c>
      <c r="KQ3" s="8">
        <v>46322</v>
      </c>
      <c r="KR3" s="8">
        <v>46323</v>
      </c>
      <c r="KS3" s="8">
        <v>46324</v>
      </c>
      <c r="KT3" s="8">
        <v>46325</v>
      </c>
      <c r="KU3" s="8">
        <v>46326</v>
      </c>
      <c r="KV3" s="8">
        <v>46327</v>
      </c>
      <c r="KW3" s="8">
        <v>46328</v>
      </c>
      <c r="KX3" s="8">
        <v>46329</v>
      </c>
      <c r="KY3" s="8">
        <v>46330</v>
      </c>
      <c r="KZ3" s="8">
        <v>46331</v>
      </c>
      <c r="LA3" s="8">
        <v>46332</v>
      </c>
      <c r="LB3" s="8">
        <v>46333</v>
      </c>
      <c r="LC3" s="8">
        <v>46334</v>
      </c>
      <c r="LD3" s="8">
        <v>46335</v>
      </c>
      <c r="LE3" s="8">
        <v>46336</v>
      </c>
      <c r="LF3" s="8">
        <v>46337</v>
      </c>
      <c r="LG3" s="8">
        <v>46338</v>
      </c>
      <c r="LH3" s="8">
        <v>46339</v>
      </c>
      <c r="LI3" s="8">
        <v>46340</v>
      </c>
      <c r="LJ3" s="8">
        <v>46341</v>
      </c>
      <c r="LK3" s="8">
        <v>46342</v>
      </c>
      <c r="LL3" s="8">
        <v>46343</v>
      </c>
      <c r="LM3" s="8">
        <v>46344</v>
      </c>
      <c r="LN3" s="8">
        <v>46345</v>
      </c>
      <c r="LO3" s="8">
        <v>46346</v>
      </c>
      <c r="LP3" s="8">
        <v>46347</v>
      </c>
      <c r="LQ3" s="8">
        <v>46348</v>
      </c>
      <c r="LR3" s="8">
        <v>46349</v>
      </c>
      <c r="LS3" s="8">
        <v>46350</v>
      </c>
      <c r="LT3" s="8">
        <v>46351</v>
      </c>
      <c r="LU3" s="8">
        <v>46352</v>
      </c>
      <c r="LV3" s="8">
        <v>46353</v>
      </c>
      <c r="LW3" s="8">
        <v>46354</v>
      </c>
      <c r="LX3" s="8">
        <v>46355</v>
      </c>
      <c r="LY3" s="8">
        <v>46356</v>
      </c>
      <c r="LZ3" s="8">
        <v>46357</v>
      </c>
      <c r="MA3" s="8">
        <v>46358</v>
      </c>
      <c r="MB3" s="8">
        <v>46359</v>
      </c>
      <c r="MC3" s="8">
        <v>46360</v>
      </c>
      <c r="MD3" s="8">
        <v>46361</v>
      </c>
      <c r="ME3" s="8">
        <v>46362</v>
      </c>
      <c r="MF3" s="8">
        <v>46363</v>
      </c>
      <c r="MG3" s="8">
        <v>46364</v>
      </c>
      <c r="MH3" s="8">
        <v>46365</v>
      </c>
      <c r="MI3" s="8">
        <v>46366</v>
      </c>
      <c r="MJ3" s="8">
        <v>46367</v>
      </c>
      <c r="MK3" s="8">
        <v>46368</v>
      </c>
      <c r="ML3" s="8">
        <v>46369</v>
      </c>
      <c r="MM3" s="8">
        <v>46370</v>
      </c>
      <c r="MN3" s="8">
        <v>46371</v>
      </c>
      <c r="MO3" s="8">
        <v>46372</v>
      </c>
      <c r="MP3" s="8">
        <v>46373</v>
      </c>
      <c r="MQ3" s="8">
        <v>46374</v>
      </c>
      <c r="MR3" s="8">
        <v>46375</v>
      </c>
      <c r="MS3" s="8">
        <v>46376</v>
      </c>
      <c r="MT3" s="8">
        <v>46377</v>
      </c>
      <c r="MU3" s="8">
        <v>46378</v>
      </c>
      <c r="MV3" s="8">
        <v>46379</v>
      </c>
      <c r="MW3" s="8">
        <v>46380</v>
      </c>
      <c r="MX3" s="8">
        <v>46381</v>
      </c>
      <c r="MY3" s="8">
        <v>46382</v>
      </c>
      <c r="MZ3" s="8">
        <v>46383</v>
      </c>
      <c r="NA3" s="8">
        <v>46384</v>
      </c>
      <c r="NB3" s="8">
        <v>46385</v>
      </c>
      <c r="NC3" s="8">
        <v>46386</v>
      </c>
      <c r="ND3" s="8">
        <v>46387</v>
      </c>
      <c r="NE3" s="14" t="s">
        <v>13</v>
      </c>
    </row>
    <row r="4" spans="1:369" s="6" customFormat="1" x14ac:dyDescent="0.25">
      <c r="A4" s="7"/>
      <c r="B4" s="9"/>
      <c r="C4" s="9"/>
      <c r="D4" s="37" t="str">
        <f>TEXT(D3,"DDD")</f>
        <v>Thu</v>
      </c>
      <c r="E4" s="8" t="str">
        <f t="shared" ref="E4:BP4" si="6">TEXT(E3,"DDD")</f>
        <v>Fri</v>
      </c>
      <c r="F4" s="8" t="str">
        <f t="shared" si="6"/>
        <v>Sat</v>
      </c>
      <c r="G4" s="37" t="str">
        <f>TEXT(G3,"DDD")</f>
        <v>Sun</v>
      </c>
      <c r="H4" s="8" t="str">
        <f t="shared" si="6"/>
        <v>Mon</v>
      </c>
      <c r="I4" s="8" t="str">
        <f t="shared" si="6"/>
        <v>Tue</v>
      </c>
      <c r="J4" s="8" t="str">
        <f t="shared" si="6"/>
        <v>Wed</v>
      </c>
      <c r="K4" s="8" t="str">
        <f t="shared" si="6"/>
        <v>Thu</v>
      </c>
      <c r="L4" s="8" t="str">
        <f t="shared" si="6"/>
        <v>Fri</v>
      </c>
      <c r="M4" s="8" t="str">
        <f t="shared" si="6"/>
        <v>Sat</v>
      </c>
      <c r="N4" s="37" t="str">
        <f t="shared" si="6"/>
        <v>Sun</v>
      </c>
      <c r="O4" s="8" t="str">
        <f t="shared" si="6"/>
        <v>Mon</v>
      </c>
      <c r="P4" s="8" t="str">
        <f t="shared" si="6"/>
        <v>Tue</v>
      </c>
      <c r="Q4" s="8" t="str">
        <f t="shared" si="6"/>
        <v>Wed</v>
      </c>
      <c r="R4" s="8" t="str">
        <f t="shared" si="6"/>
        <v>Thu</v>
      </c>
      <c r="S4" s="37" t="str">
        <f t="shared" si="6"/>
        <v>Fri</v>
      </c>
      <c r="T4" s="8" t="str">
        <f t="shared" si="6"/>
        <v>Sat</v>
      </c>
      <c r="U4" s="37" t="str">
        <f t="shared" si="6"/>
        <v>Sun</v>
      </c>
      <c r="V4" s="8" t="str">
        <f t="shared" si="6"/>
        <v>Mon</v>
      </c>
      <c r="W4" s="8" t="str">
        <f t="shared" si="6"/>
        <v>Tue</v>
      </c>
      <c r="X4" s="8" t="str">
        <f t="shared" si="6"/>
        <v>Wed</v>
      </c>
      <c r="Y4" s="8" t="str">
        <f t="shared" si="6"/>
        <v>Thu</v>
      </c>
      <c r="Z4" s="8" t="str">
        <f t="shared" si="6"/>
        <v>Fri</v>
      </c>
      <c r="AA4" s="8" t="str">
        <f t="shared" si="6"/>
        <v>Sat</v>
      </c>
      <c r="AB4" s="37" t="str">
        <f t="shared" si="6"/>
        <v>Sun</v>
      </c>
      <c r="AC4" s="8" t="str">
        <f t="shared" si="6"/>
        <v>Mon</v>
      </c>
      <c r="AD4" s="8" t="str">
        <f t="shared" si="6"/>
        <v>Tue</v>
      </c>
      <c r="AE4" s="8" t="str">
        <f t="shared" si="6"/>
        <v>Wed</v>
      </c>
      <c r="AF4" s="8" t="str">
        <f t="shared" si="6"/>
        <v>Thu</v>
      </c>
      <c r="AG4" s="8" t="str">
        <f t="shared" si="6"/>
        <v>Fri</v>
      </c>
      <c r="AH4" s="8" t="str">
        <f t="shared" si="6"/>
        <v>Sat</v>
      </c>
      <c r="AI4" s="37" t="str">
        <f t="shared" si="6"/>
        <v>Sun</v>
      </c>
      <c r="AJ4" s="8" t="str">
        <f t="shared" si="6"/>
        <v>Mon</v>
      </c>
      <c r="AK4" s="8" t="str">
        <f t="shared" si="6"/>
        <v>Tue</v>
      </c>
      <c r="AL4" s="8" t="str">
        <f t="shared" si="6"/>
        <v>Wed</v>
      </c>
      <c r="AM4" s="8" t="str">
        <f t="shared" si="6"/>
        <v>Thu</v>
      </c>
      <c r="AN4" s="8" t="str">
        <f t="shared" si="6"/>
        <v>Fri</v>
      </c>
      <c r="AO4" s="8" t="str">
        <f t="shared" si="6"/>
        <v>Sat</v>
      </c>
      <c r="AP4" s="37" t="str">
        <f t="shared" si="6"/>
        <v>Sun</v>
      </c>
      <c r="AQ4" s="8" t="str">
        <f t="shared" si="6"/>
        <v>Mon</v>
      </c>
      <c r="AR4" s="8" t="str">
        <f t="shared" si="6"/>
        <v>Tue</v>
      </c>
      <c r="AS4" s="8" t="str">
        <f t="shared" si="6"/>
        <v>Wed</v>
      </c>
      <c r="AT4" s="8" t="str">
        <f t="shared" si="6"/>
        <v>Thu</v>
      </c>
      <c r="AU4" s="8" t="str">
        <f t="shared" si="6"/>
        <v>Fri</v>
      </c>
      <c r="AV4" s="8" t="str">
        <f t="shared" si="6"/>
        <v>Sat</v>
      </c>
      <c r="AW4" s="37" t="str">
        <f t="shared" si="6"/>
        <v>Sun</v>
      </c>
      <c r="AX4" s="8" t="str">
        <f t="shared" si="6"/>
        <v>Mon</v>
      </c>
      <c r="AY4" s="37" t="str">
        <f t="shared" si="6"/>
        <v>Tue</v>
      </c>
      <c r="AZ4" s="8" t="str">
        <f t="shared" si="6"/>
        <v>Wed</v>
      </c>
      <c r="BA4" s="8" t="str">
        <f t="shared" si="6"/>
        <v>Thu</v>
      </c>
      <c r="BB4" s="8" t="str">
        <f t="shared" si="6"/>
        <v>Fri</v>
      </c>
      <c r="BC4" s="8" t="str">
        <f t="shared" si="6"/>
        <v>Sat</v>
      </c>
      <c r="BD4" s="37" t="str">
        <f t="shared" si="6"/>
        <v>Sun</v>
      </c>
      <c r="BE4" s="8" t="str">
        <f t="shared" si="6"/>
        <v>Mon</v>
      </c>
      <c r="BF4" s="8" t="str">
        <f t="shared" si="6"/>
        <v>Tue</v>
      </c>
      <c r="BG4" s="8" t="str">
        <f t="shared" si="6"/>
        <v>Wed</v>
      </c>
      <c r="BH4" s="8" t="str">
        <f t="shared" si="6"/>
        <v>Thu</v>
      </c>
      <c r="BI4" s="8" t="str">
        <f t="shared" si="6"/>
        <v>Fri</v>
      </c>
      <c r="BJ4" s="8" t="str">
        <f t="shared" si="6"/>
        <v>Sat</v>
      </c>
      <c r="BK4" s="8" t="str">
        <f t="shared" si="6"/>
        <v>Sun</v>
      </c>
      <c r="BL4" s="8" t="str">
        <f t="shared" si="6"/>
        <v>Mon</v>
      </c>
      <c r="BM4" s="8" t="str">
        <f t="shared" si="6"/>
        <v>Tue</v>
      </c>
      <c r="BN4" s="8" t="str">
        <f t="shared" si="6"/>
        <v>Wed</v>
      </c>
      <c r="BO4" s="8" t="str">
        <f t="shared" si="6"/>
        <v>Thu</v>
      </c>
      <c r="BP4" s="8" t="str">
        <f t="shared" si="6"/>
        <v>Fri</v>
      </c>
      <c r="BQ4" s="8" t="str">
        <f t="shared" ref="BQ4:EB4" si="7">TEXT(BQ3,"DDD")</f>
        <v>Sat</v>
      </c>
      <c r="BR4" s="8" t="str">
        <f t="shared" si="7"/>
        <v>Sun</v>
      </c>
      <c r="BS4" s="8" t="str">
        <f t="shared" si="7"/>
        <v>Mon</v>
      </c>
      <c r="BT4" s="8" t="str">
        <f t="shared" si="7"/>
        <v>Tue</v>
      </c>
      <c r="BU4" s="8" t="str">
        <f t="shared" si="7"/>
        <v>Wed</v>
      </c>
      <c r="BV4" s="8" t="str">
        <f t="shared" si="7"/>
        <v>Thu</v>
      </c>
      <c r="BW4" s="8" t="str">
        <f t="shared" si="7"/>
        <v>Fri</v>
      </c>
      <c r="BX4" s="8" t="str">
        <f t="shared" si="7"/>
        <v>Sat</v>
      </c>
      <c r="BY4" s="8" t="str">
        <f t="shared" si="7"/>
        <v>Sun</v>
      </c>
      <c r="BZ4" s="8" t="str">
        <f t="shared" si="7"/>
        <v>Mon</v>
      </c>
      <c r="CA4" s="8" t="str">
        <f t="shared" si="7"/>
        <v>Tue</v>
      </c>
      <c r="CB4" s="8" t="str">
        <f t="shared" si="7"/>
        <v>Wed</v>
      </c>
      <c r="CC4" s="37" t="str">
        <f t="shared" si="7"/>
        <v>Thu</v>
      </c>
      <c r="CD4" s="37" t="str">
        <f t="shared" si="7"/>
        <v>Fri</v>
      </c>
      <c r="CE4" s="37" t="str">
        <f t="shared" si="7"/>
        <v>Sat</v>
      </c>
      <c r="CF4" s="37" t="str">
        <f t="shared" si="7"/>
        <v>Sun</v>
      </c>
      <c r="CG4" s="37" t="str">
        <f t="shared" si="7"/>
        <v>Mon</v>
      </c>
      <c r="CH4" s="37" t="str">
        <f t="shared" si="7"/>
        <v>Tue</v>
      </c>
      <c r="CI4" s="37" t="str">
        <f t="shared" si="7"/>
        <v>Wed</v>
      </c>
      <c r="CJ4" s="37" t="str">
        <f t="shared" si="7"/>
        <v>Thu</v>
      </c>
      <c r="CK4" s="37" t="str">
        <f t="shared" si="7"/>
        <v>Fri</v>
      </c>
      <c r="CL4" s="37" t="str">
        <f t="shared" si="7"/>
        <v>Sat</v>
      </c>
      <c r="CM4" s="37" t="str">
        <f t="shared" si="7"/>
        <v>Sun</v>
      </c>
      <c r="CN4" s="8" t="str">
        <f t="shared" si="7"/>
        <v>Mon</v>
      </c>
      <c r="CO4" s="8" t="str">
        <f t="shared" si="7"/>
        <v>Tue</v>
      </c>
      <c r="CP4" s="8" t="str">
        <f t="shared" si="7"/>
        <v>Wed</v>
      </c>
      <c r="CQ4" s="8" t="str">
        <f t="shared" si="7"/>
        <v>Thu</v>
      </c>
      <c r="CR4" s="8" t="str">
        <f t="shared" si="7"/>
        <v>Fri</v>
      </c>
      <c r="CS4" s="8" t="str">
        <f t="shared" si="7"/>
        <v>Sat</v>
      </c>
      <c r="CT4" s="8" t="str">
        <f t="shared" si="7"/>
        <v>Sun</v>
      </c>
      <c r="CU4" s="8" t="str">
        <f t="shared" si="7"/>
        <v>Mon</v>
      </c>
      <c r="CV4" s="8" t="str">
        <f t="shared" si="7"/>
        <v>Tue</v>
      </c>
      <c r="CW4" s="8" t="str">
        <f t="shared" si="7"/>
        <v>Wed</v>
      </c>
      <c r="CX4" s="8" t="str">
        <f t="shared" si="7"/>
        <v>Thu</v>
      </c>
      <c r="CY4" s="8" t="str">
        <f t="shared" si="7"/>
        <v>Fri</v>
      </c>
      <c r="CZ4" s="8" t="str">
        <f t="shared" si="7"/>
        <v>Sat</v>
      </c>
      <c r="DA4" s="8" t="str">
        <f t="shared" si="7"/>
        <v>Sun</v>
      </c>
      <c r="DB4" s="8" t="str">
        <f t="shared" si="7"/>
        <v>Mon</v>
      </c>
      <c r="DC4" s="8" t="str">
        <f t="shared" si="7"/>
        <v>Tue</v>
      </c>
      <c r="DD4" s="8" t="str">
        <f t="shared" si="7"/>
        <v>Wed</v>
      </c>
      <c r="DE4" s="8" t="str">
        <f t="shared" si="7"/>
        <v>Thu</v>
      </c>
      <c r="DF4" s="8" t="str">
        <f t="shared" si="7"/>
        <v>Fri</v>
      </c>
      <c r="DG4" s="8" t="str">
        <f t="shared" si="7"/>
        <v>Sat</v>
      </c>
      <c r="DH4" s="8" t="str">
        <f t="shared" si="7"/>
        <v>Sun</v>
      </c>
      <c r="DI4" s="8" t="str">
        <f t="shared" si="7"/>
        <v>Mon</v>
      </c>
      <c r="DJ4" s="8" t="str">
        <f t="shared" si="7"/>
        <v>Tue</v>
      </c>
      <c r="DK4" s="8" t="str">
        <f t="shared" si="7"/>
        <v>Wed</v>
      </c>
      <c r="DL4" s="8" t="str">
        <f t="shared" si="7"/>
        <v>Thu</v>
      </c>
      <c r="DM4" s="8" t="str">
        <f t="shared" si="7"/>
        <v>Fri</v>
      </c>
      <c r="DN4" s="8" t="str">
        <f t="shared" si="7"/>
        <v>Sat</v>
      </c>
      <c r="DO4" s="8" t="str">
        <f t="shared" si="7"/>
        <v>Sun</v>
      </c>
      <c r="DP4" s="8" t="str">
        <f t="shared" si="7"/>
        <v>Mon</v>
      </c>
      <c r="DQ4" s="8" t="str">
        <f t="shared" si="7"/>
        <v>Tue</v>
      </c>
      <c r="DR4" s="8" t="str">
        <f t="shared" si="7"/>
        <v>Wed</v>
      </c>
      <c r="DS4" s="8" t="str">
        <f t="shared" si="7"/>
        <v>Thu</v>
      </c>
      <c r="DT4" s="8" t="str">
        <f t="shared" si="7"/>
        <v>Fri</v>
      </c>
      <c r="DU4" s="8" t="str">
        <f t="shared" si="7"/>
        <v>Sat</v>
      </c>
      <c r="DV4" s="8" t="str">
        <f t="shared" si="7"/>
        <v>Sun</v>
      </c>
      <c r="DW4" s="8" t="str">
        <f t="shared" si="7"/>
        <v>Mon</v>
      </c>
      <c r="DX4" s="8" t="str">
        <f t="shared" si="7"/>
        <v>Tue</v>
      </c>
      <c r="DY4" s="8" t="str">
        <f t="shared" si="7"/>
        <v>Wed</v>
      </c>
      <c r="DZ4" s="8" t="str">
        <f t="shared" si="7"/>
        <v>Thu</v>
      </c>
      <c r="EA4" s="8" t="str">
        <f t="shared" si="7"/>
        <v>Fri</v>
      </c>
      <c r="EB4" s="8" t="str">
        <f t="shared" si="7"/>
        <v>Sat</v>
      </c>
      <c r="EC4" s="8" t="str">
        <f t="shared" ref="EC4:GN4" si="8">TEXT(EC3,"DDD")</f>
        <v>Sun</v>
      </c>
      <c r="ED4" s="8" t="str">
        <f t="shared" si="8"/>
        <v>Mon</v>
      </c>
      <c r="EE4" s="8" t="str">
        <f t="shared" si="8"/>
        <v>Tue</v>
      </c>
      <c r="EF4" s="8" t="str">
        <f t="shared" si="8"/>
        <v>Wed</v>
      </c>
      <c r="EG4" s="8" t="str">
        <f t="shared" si="8"/>
        <v>Thu</v>
      </c>
      <c r="EH4" s="8" t="str">
        <f t="shared" si="8"/>
        <v>Fri</v>
      </c>
      <c r="EI4" s="8" t="str">
        <f t="shared" si="8"/>
        <v>Sat</v>
      </c>
      <c r="EJ4" s="8" t="str">
        <f t="shared" si="8"/>
        <v>Sun</v>
      </c>
      <c r="EK4" s="8" t="str">
        <f t="shared" si="8"/>
        <v>Mon</v>
      </c>
      <c r="EL4" s="8" t="str">
        <f t="shared" si="8"/>
        <v>Tue</v>
      </c>
      <c r="EM4" s="8" t="str">
        <f t="shared" si="8"/>
        <v>Wed</v>
      </c>
      <c r="EN4" s="8" t="str">
        <f t="shared" si="8"/>
        <v>Thu</v>
      </c>
      <c r="EO4" s="8" t="str">
        <f t="shared" si="8"/>
        <v>Fri</v>
      </c>
      <c r="EP4" s="8" t="str">
        <f t="shared" si="8"/>
        <v>Sat</v>
      </c>
      <c r="EQ4" s="8" t="str">
        <f t="shared" si="8"/>
        <v>Sun</v>
      </c>
      <c r="ER4" s="8" t="str">
        <f t="shared" si="8"/>
        <v>Mon</v>
      </c>
      <c r="ES4" s="8" t="str">
        <f t="shared" si="8"/>
        <v>Tue</v>
      </c>
      <c r="ET4" s="8" t="str">
        <f t="shared" si="8"/>
        <v>Wed</v>
      </c>
      <c r="EU4" s="8" t="str">
        <f t="shared" si="8"/>
        <v>Thu</v>
      </c>
      <c r="EV4" s="8" t="str">
        <f t="shared" si="8"/>
        <v>Fri</v>
      </c>
      <c r="EW4" s="8" t="str">
        <f t="shared" si="8"/>
        <v>Sat</v>
      </c>
      <c r="EX4" s="8" t="str">
        <f t="shared" si="8"/>
        <v>Sun</v>
      </c>
      <c r="EY4" s="8" t="str">
        <f t="shared" si="8"/>
        <v>Mon</v>
      </c>
      <c r="EZ4" s="8" t="str">
        <f t="shared" si="8"/>
        <v>Tue</v>
      </c>
      <c r="FA4" s="8" t="str">
        <f t="shared" si="8"/>
        <v>Wed</v>
      </c>
      <c r="FB4" s="8" t="str">
        <f t="shared" si="8"/>
        <v>Thu</v>
      </c>
      <c r="FC4" s="8" t="str">
        <f t="shared" si="8"/>
        <v>Fri</v>
      </c>
      <c r="FD4" s="8" t="str">
        <f t="shared" si="8"/>
        <v>Sat</v>
      </c>
      <c r="FE4" s="8" t="str">
        <f t="shared" si="8"/>
        <v>Sun</v>
      </c>
      <c r="FF4" s="8" t="str">
        <f t="shared" si="8"/>
        <v>Mon</v>
      </c>
      <c r="FG4" s="8" t="str">
        <f t="shared" si="8"/>
        <v>Tue</v>
      </c>
      <c r="FH4" s="8" t="str">
        <f t="shared" si="8"/>
        <v>Wed</v>
      </c>
      <c r="FI4" s="8" t="str">
        <f t="shared" si="8"/>
        <v>Thu</v>
      </c>
      <c r="FJ4" s="8" t="str">
        <f t="shared" si="8"/>
        <v>Fri</v>
      </c>
      <c r="FK4" s="8" t="str">
        <f t="shared" si="8"/>
        <v>Sat</v>
      </c>
      <c r="FL4" s="8" t="str">
        <f t="shared" si="8"/>
        <v>Sun</v>
      </c>
      <c r="FM4" s="8" t="str">
        <f t="shared" si="8"/>
        <v>Mon</v>
      </c>
      <c r="FN4" s="8" t="str">
        <f t="shared" si="8"/>
        <v>Tue</v>
      </c>
      <c r="FO4" s="8" t="str">
        <f t="shared" si="8"/>
        <v>Wed</v>
      </c>
      <c r="FP4" s="8" t="str">
        <f t="shared" si="8"/>
        <v>Thu</v>
      </c>
      <c r="FQ4" s="8" t="str">
        <f t="shared" si="8"/>
        <v>Fri</v>
      </c>
      <c r="FR4" s="8" t="str">
        <f t="shared" si="8"/>
        <v>Sat</v>
      </c>
      <c r="FS4" s="8" t="str">
        <f t="shared" si="8"/>
        <v>Sun</v>
      </c>
      <c r="FT4" s="8" t="str">
        <f t="shared" si="8"/>
        <v>Mon</v>
      </c>
      <c r="FU4" s="8" t="str">
        <f t="shared" si="8"/>
        <v>Tue</v>
      </c>
      <c r="FV4" s="8" t="str">
        <f t="shared" si="8"/>
        <v>Wed</v>
      </c>
      <c r="FW4" s="8" t="str">
        <f t="shared" si="8"/>
        <v>Thu</v>
      </c>
      <c r="FX4" s="8" t="str">
        <f t="shared" si="8"/>
        <v>Fri</v>
      </c>
      <c r="FY4" s="8" t="str">
        <f t="shared" si="8"/>
        <v>Sat</v>
      </c>
      <c r="FZ4" s="8" t="str">
        <f t="shared" si="8"/>
        <v>Sun</v>
      </c>
      <c r="GA4" s="8" t="str">
        <f t="shared" si="8"/>
        <v>Mon</v>
      </c>
      <c r="GB4" s="8" t="str">
        <f t="shared" si="8"/>
        <v>Tue</v>
      </c>
      <c r="GC4" s="8" t="str">
        <f t="shared" si="8"/>
        <v>Wed</v>
      </c>
      <c r="GD4" s="8" t="str">
        <f t="shared" si="8"/>
        <v>Thu</v>
      </c>
      <c r="GE4" s="8" t="str">
        <f t="shared" si="8"/>
        <v>Fri</v>
      </c>
      <c r="GF4" s="8" t="str">
        <f t="shared" si="8"/>
        <v>Sat</v>
      </c>
      <c r="GG4" s="8" t="str">
        <f t="shared" si="8"/>
        <v>Sun</v>
      </c>
      <c r="GH4" s="8" t="str">
        <f t="shared" si="8"/>
        <v>Mon</v>
      </c>
      <c r="GI4" s="8" t="str">
        <f t="shared" si="8"/>
        <v>Tue</v>
      </c>
      <c r="GJ4" s="8" t="str">
        <f t="shared" si="8"/>
        <v>Wed</v>
      </c>
      <c r="GK4" s="8" t="str">
        <f t="shared" si="8"/>
        <v>Thu</v>
      </c>
      <c r="GL4" s="8" t="str">
        <f t="shared" si="8"/>
        <v>Fri</v>
      </c>
      <c r="GM4" s="8" t="str">
        <f t="shared" si="8"/>
        <v>Sat</v>
      </c>
      <c r="GN4" s="8" t="str">
        <f t="shared" si="8"/>
        <v>Sun</v>
      </c>
      <c r="GO4" s="8" t="str">
        <f t="shared" ref="GO4:IZ4" si="9">TEXT(GO3,"DDD")</f>
        <v>Mon</v>
      </c>
      <c r="GP4" s="8" t="str">
        <f t="shared" si="9"/>
        <v>Tue</v>
      </c>
      <c r="GQ4" s="8" t="str">
        <f t="shared" si="9"/>
        <v>Wed</v>
      </c>
      <c r="GR4" s="8" t="str">
        <f t="shared" si="9"/>
        <v>Thu</v>
      </c>
      <c r="GS4" s="8" t="str">
        <f t="shared" si="9"/>
        <v>Fri</v>
      </c>
      <c r="GT4" s="8" t="str">
        <f t="shared" si="9"/>
        <v>Sat</v>
      </c>
      <c r="GU4" s="37" t="str">
        <f t="shared" si="9"/>
        <v>Sun</v>
      </c>
      <c r="GV4" s="8" t="str">
        <f t="shared" si="9"/>
        <v>Mon</v>
      </c>
      <c r="GW4" s="8" t="str">
        <f t="shared" si="9"/>
        <v>Tue</v>
      </c>
      <c r="GX4" s="8" t="str">
        <f t="shared" si="9"/>
        <v>Wed</v>
      </c>
      <c r="GY4" s="8" t="str">
        <f t="shared" si="9"/>
        <v>Thu</v>
      </c>
      <c r="GZ4" s="8" t="str">
        <f t="shared" si="9"/>
        <v>Fri</v>
      </c>
      <c r="HA4" s="8" t="str">
        <f t="shared" si="9"/>
        <v>Sat</v>
      </c>
      <c r="HB4" s="8" t="str">
        <f t="shared" si="9"/>
        <v>Sun</v>
      </c>
      <c r="HC4" s="8" t="str">
        <f t="shared" si="9"/>
        <v>Mon</v>
      </c>
      <c r="HD4" s="8" t="str">
        <f t="shared" si="9"/>
        <v>Tue</v>
      </c>
      <c r="HE4" s="8" t="str">
        <f t="shared" si="9"/>
        <v>Wed</v>
      </c>
      <c r="HF4" s="8" t="str">
        <f t="shared" si="9"/>
        <v>Thu</v>
      </c>
      <c r="HG4" s="8" t="str">
        <f t="shared" si="9"/>
        <v>Fri</v>
      </c>
      <c r="HH4" s="8" t="str">
        <f t="shared" si="9"/>
        <v>Sat</v>
      </c>
      <c r="HI4" s="8" t="str">
        <f t="shared" si="9"/>
        <v>Sun</v>
      </c>
      <c r="HJ4" s="8" t="str">
        <f t="shared" si="9"/>
        <v>Mon</v>
      </c>
      <c r="HK4" s="8" t="str">
        <f t="shared" si="9"/>
        <v>Tue</v>
      </c>
      <c r="HL4" s="8" t="str">
        <f t="shared" si="9"/>
        <v>Wed</v>
      </c>
      <c r="HM4" s="8" t="str">
        <f t="shared" si="9"/>
        <v>Thu</v>
      </c>
      <c r="HN4" s="8" t="str">
        <f t="shared" si="9"/>
        <v>Fri</v>
      </c>
      <c r="HO4" s="8" t="str">
        <f t="shared" si="9"/>
        <v>Sat</v>
      </c>
      <c r="HP4" s="8" t="str">
        <f t="shared" si="9"/>
        <v>Sun</v>
      </c>
      <c r="HQ4" s="8" t="str">
        <f t="shared" si="9"/>
        <v>Mon</v>
      </c>
      <c r="HR4" s="8" t="str">
        <f t="shared" si="9"/>
        <v>Tue</v>
      </c>
      <c r="HS4" s="8" t="str">
        <f t="shared" si="9"/>
        <v>Wed</v>
      </c>
      <c r="HT4" s="8" t="str">
        <f t="shared" si="9"/>
        <v>Thu</v>
      </c>
      <c r="HU4" s="8" t="str">
        <f t="shared" si="9"/>
        <v>Fri</v>
      </c>
      <c r="HV4" s="8" t="str">
        <f t="shared" si="9"/>
        <v>Sat</v>
      </c>
      <c r="HW4" s="8" t="str">
        <f t="shared" si="9"/>
        <v>Sun</v>
      </c>
      <c r="HX4" s="8" t="str">
        <f t="shared" si="9"/>
        <v>Mon</v>
      </c>
      <c r="HY4" s="8" t="str">
        <f t="shared" si="9"/>
        <v>Tue</v>
      </c>
      <c r="HZ4" s="8" t="str">
        <f t="shared" si="9"/>
        <v>Wed</v>
      </c>
      <c r="IA4" s="8" t="str">
        <f t="shared" si="9"/>
        <v>Thu</v>
      </c>
      <c r="IB4" s="8" t="str">
        <f t="shared" si="9"/>
        <v>Fri</v>
      </c>
      <c r="IC4" s="8" t="str">
        <f t="shared" si="9"/>
        <v>Sat</v>
      </c>
      <c r="ID4" s="8" t="str">
        <f t="shared" si="9"/>
        <v>Sun</v>
      </c>
      <c r="IE4" s="8" t="str">
        <f t="shared" si="9"/>
        <v>Mon</v>
      </c>
      <c r="IF4" s="8" t="str">
        <f t="shared" si="9"/>
        <v>Tue</v>
      </c>
      <c r="IG4" s="8" t="str">
        <f t="shared" si="9"/>
        <v>Wed</v>
      </c>
      <c r="IH4" s="8" t="str">
        <f t="shared" si="9"/>
        <v>Thu</v>
      </c>
      <c r="II4" s="8" t="str">
        <f t="shared" si="9"/>
        <v>Fri</v>
      </c>
      <c r="IJ4" s="8" t="str">
        <f t="shared" si="9"/>
        <v>Sat</v>
      </c>
      <c r="IK4" s="8" t="str">
        <f t="shared" si="9"/>
        <v>Sun</v>
      </c>
      <c r="IL4" s="8" t="str">
        <f t="shared" si="9"/>
        <v>Mon</v>
      </c>
      <c r="IM4" s="8" t="str">
        <f t="shared" si="9"/>
        <v>Tue</v>
      </c>
      <c r="IN4" s="8" t="str">
        <f t="shared" si="9"/>
        <v>Wed</v>
      </c>
      <c r="IO4" s="8" t="str">
        <f t="shared" si="9"/>
        <v>Thu</v>
      </c>
      <c r="IP4" s="8" t="str">
        <f t="shared" si="9"/>
        <v>Fri</v>
      </c>
      <c r="IQ4" s="8" t="str">
        <f t="shared" si="9"/>
        <v>Sat</v>
      </c>
      <c r="IR4" s="8" t="str">
        <f t="shared" si="9"/>
        <v>Sun</v>
      </c>
      <c r="IS4" s="8" t="str">
        <f t="shared" si="9"/>
        <v>Mon</v>
      </c>
      <c r="IT4" s="8" t="str">
        <f t="shared" si="9"/>
        <v>Tue</v>
      </c>
      <c r="IU4" s="8" t="str">
        <f t="shared" si="9"/>
        <v>Wed</v>
      </c>
      <c r="IV4" s="8" t="str">
        <f t="shared" si="9"/>
        <v>Thu</v>
      </c>
      <c r="IW4" s="8" t="str">
        <f t="shared" si="9"/>
        <v>Fri</v>
      </c>
      <c r="IX4" s="8" t="str">
        <f t="shared" si="9"/>
        <v>Sat</v>
      </c>
      <c r="IY4" s="8" t="str">
        <f t="shared" si="9"/>
        <v>Sun</v>
      </c>
      <c r="IZ4" s="8" t="str">
        <f t="shared" si="9"/>
        <v>Mon</v>
      </c>
      <c r="JA4" s="8" t="str">
        <f t="shared" ref="JA4:LL4" si="10">TEXT(JA3,"DDD")</f>
        <v>Tue</v>
      </c>
      <c r="JB4" s="8" t="str">
        <f t="shared" si="10"/>
        <v>Wed</v>
      </c>
      <c r="JC4" s="8" t="str">
        <f t="shared" si="10"/>
        <v>Thu</v>
      </c>
      <c r="JD4" s="8" t="str">
        <f t="shared" si="10"/>
        <v>Fri</v>
      </c>
      <c r="JE4" s="8" t="str">
        <f t="shared" si="10"/>
        <v>Sat</v>
      </c>
      <c r="JF4" s="8" t="str">
        <f t="shared" si="10"/>
        <v>Sun</v>
      </c>
      <c r="JG4" s="8" t="str">
        <f t="shared" si="10"/>
        <v>Mon</v>
      </c>
      <c r="JH4" s="8" t="str">
        <f t="shared" si="10"/>
        <v>Tue</v>
      </c>
      <c r="JI4" s="8" t="str">
        <f t="shared" si="10"/>
        <v>Wed</v>
      </c>
      <c r="JJ4" s="8" t="str">
        <f t="shared" si="10"/>
        <v>Thu</v>
      </c>
      <c r="JK4" s="8" t="str">
        <f t="shared" si="10"/>
        <v>Fri</v>
      </c>
      <c r="JL4" s="8" t="str">
        <f t="shared" si="10"/>
        <v>Sat</v>
      </c>
      <c r="JM4" s="8" t="str">
        <f t="shared" si="10"/>
        <v>Sun</v>
      </c>
      <c r="JN4" s="8" t="str">
        <f t="shared" si="10"/>
        <v>Mon</v>
      </c>
      <c r="JO4" s="8" t="str">
        <f t="shared" si="10"/>
        <v>Tue</v>
      </c>
      <c r="JP4" s="8" t="str">
        <f t="shared" si="10"/>
        <v>Wed</v>
      </c>
      <c r="JQ4" s="8" t="str">
        <f t="shared" si="10"/>
        <v>Thu</v>
      </c>
      <c r="JR4" s="8" t="str">
        <f t="shared" si="10"/>
        <v>Fri</v>
      </c>
      <c r="JS4" s="8" t="str">
        <f t="shared" si="10"/>
        <v>Sat</v>
      </c>
      <c r="JT4" s="8" t="str">
        <f t="shared" si="10"/>
        <v>Sun</v>
      </c>
      <c r="JU4" s="8" t="str">
        <f t="shared" si="10"/>
        <v>Mon</v>
      </c>
      <c r="JV4" s="8" t="str">
        <f t="shared" si="10"/>
        <v>Tue</v>
      </c>
      <c r="JW4" s="8" t="str">
        <f t="shared" si="10"/>
        <v>Wed</v>
      </c>
      <c r="JX4" s="8" t="str">
        <f t="shared" si="10"/>
        <v>Thu</v>
      </c>
      <c r="JY4" s="8" t="str">
        <f t="shared" si="10"/>
        <v>Fri</v>
      </c>
      <c r="JZ4" s="8" t="str">
        <f t="shared" si="10"/>
        <v>Sat</v>
      </c>
      <c r="KA4" s="8" t="str">
        <f t="shared" si="10"/>
        <v>Sun</v>
      </c>
      <c r="KB4" s="8" t="str">
        <f t="shared" si="10"/>
        <v>Mon</v>
      </c>
      <c r="KC4" s="8" t="str">
        <f t="shared" si="10"/>
        <v>Tue</v>
      </c>
      <c r="KD4" s="8" t="str">
        <f t="shared" si="10"/>
        <v>Wed</v>
      </c>
      <c r="KE4" s="8" t="str">
        <f t="shared" si="10"/>
        <v>Thu</v>
      </c>
      <c r="KF4" s="8" t="str">
        <f t="shared" si="10"/>
        <v>Fri</v>
      </c>
      <c r="KG4" s="8" t="str">
        <f t="shared" si="10"/>
        <v>Sat</v>
      </c>
      <c r="KH4" s="8" t="str">
        <f t="shared" si="10"/>
        <v>Sun</v>
      </c>
      <c r="KI4" s="8" t="str">
        <f t="shared" si="10"/>
        <v>Mon</v>
      </c>
      <c r="KJ4" s="8" t="str">
        <f t="shared" si="10"/>
        <v>Tue</v>
      </c>
      <c r="KK4" s="8" t="str">
        <f t="shared" si="10"/>
        <v>Wed</v>
      </c>
      <c r="KL4" s="8" t="str">
        <f t="shared" si="10"/>
        <v>Thu</v>
      </c>
      <c r="KM4" s="8" t="str">
        <f t="shared" si="10"/>
        <v>Fri</v>
      </c>
      <c r="KN4" s="8" t="str">
        <f t="shared" si="10"/>
        <v>Sat</v>
      </c>
      <c r="KO4" s="8" t="str">
        <f t="shared" si="10"/>
        <v>Sun</v>
      </c>
      <c r="KP4" s="8" t="str">
        <f t="shared" si="10"/>
        <v>Mon</v>
      </c>
      <c r="KQ4" s="8" t="str">
        <f t="shared" si="10"/>
        <v>Tue</v>
      </c>
      <c r="KR4" s="8" t="str">
        <f t="shared" si="10"/>
        <v>Wed</v>
      </c>
      <c r="KS4" s="8" t="str">
        <f t="shared" si="10"/>
        <v>Thu</v>
      </c>
      <c r="KT4" s="8" t="str">
        <f t="shared" si="10"/>
        <v>Fri</v>
      </c>
      <c r="KU4" s="8" t="str">
        <f t="shared" si="10"/>
        <v>Sat</v>
      </c>
      <c r="KV4" s="8" t="str">
        <f t="shared" si="10"/>
        <v>Sun</v>
      </c>
      <c r="KW4" s="8" t="str">
        <f t="shared" si="10"/>
        <v>Mon</v>
      </c>
      <c r="KX4" s="8" t="str">
        <f t="shared" si="10"/>
        <v>Tue</v>
      </c>
      <c r="KY4" s="8" t="str">
        <f t="shared" si="10"/>
        <v>Wed</v>
      </c>
      <c r="KZ4" s="8" t="str">
        <f t="shared" si="10"/>
        <v>Thu</v>
      </c>
      <c r="LA4" s="8" t="str">
        <f t="shared" si="10"/>
        <v>Fri</v>
      </c>
      <c r="LB4" s="8" t="str">
        <f t="shared" si="10"/>
        <v>Sat</v>
      </c>
      <c r="LC4" s="8" t="str">
        <f t="shared" si="10"/>
        <v>Sun</v>
      </c>
      <c r="LD4" s="8" t="str">
        <f t="shared" si="10"/>
        <v>Mon</v>
      </c>
      <c r="LE4" s="8" t="str">
        <f t="shared" si="10"/>
        <v>Tue</v>
      </c>
      <c r="LF4" s="8" t="str">
        <f t="shared" si="10"/>
        <v>Wed</v>
      </c>
      <c r="LG4" s="8" t="str">
        <f t="shared" si="10"/>
        <v>Thu</v>
      </c>
      <c r="LH4" s="8" t="str">
        <f t="shared" si="10"/>
        <v>Fri</v>
      </c>
      <c r="LI4" s="8" t="str">
        <f t="shared" si="10"/>
        <v>Sat</v>
      </c>
      <c r="LJ4" s="8" t="str">
        <f t="shared" si="10"/>
        <v>Sun</v>
      </c>
      <c r="LK4" s="8" t="str">
        <f t="shared" si="10"/>
        <v>Mon</v>
      </c>
      <c r="LL4" s="8" t="str">
        <f t="shared" si="10"/>
        <v>Tue</v>
      </c>
      <c r="LM4" s="8" t="str">
        <f t="shared" ref="LM4:ND4" si="11">TEXT(LM3,"DDD")</f>
        <v>Wed</v>
      </c>
      <c r="LN4" s="8" t="str">
        <f t="shared" si="11"/>
        <v>Thu</v>
      </c>
      <c r="LO4" s="8" t="str">
        <f t="shared" si="11"/>
        <v>Fri</v>
      </c>
      <c r="LP4" s="8" t="str">
        <f t="shared" si="11"/>
        <v>Sat</v>
      </c>
      <c r="LQ4" s="8" t="str">
        <f t="shared" si="11"/>
        <v>Sun</v>
      </c>
      <c r="LR4" s="8" t="str">
        <f t="shared" si="11"/>
        <v>Mon</v>
      </c>
      <c r="LS4" s="8" t="str">
        <f t="shared" si="11"/>
        <v>Tue</v>
      </c>
      <c r="LT4" s="8" t="str">
        <f t="shared" si="11"/>
        <v>Wed</v>
      </c>
      <c r="LU4" s="8" t="str">
        <f t="shared" si="11"/>
        <v>Thu</v>
      </c>
      <c r="LV4" s="8" t="str">
        <f t="shared" si="11"/>
        <v>Fri</v>
      </c>
      <c r="LW4" s="8" t="str">
        <f t="shared" si="11"/>
        <v>Sat</v>
      </c>
      <c r="LX4" s="8" t="str">
        <f t="shared" si="11"/>
        <v>Sun</v>
      </c>
      <c r="LY4" s="8" t="str">
        <f t="shared" si="11"/>
        <v>Mon</v>
      </c>
      <c r="LZ4" s="8" t="str">
        <f t="shared" si="11"/>
        <v>Tue</v>
      </c>
      <c r="MA4" s="8" t="str">
        <f t="shared" si="11"/>
        <v>Wed</v>
      </c>
      <c r="MB4" s="8" t="str">
        <f t="shared" si="11"/>
        <v>Thu</v>
      </c>
      <c r="MC4" s="8" t="str">
        <f t="shared" si="11"/>
        <v>Fri</v>
      </c>
      <c r="MD4" s="8" t="str">
        <f t="shared" si="11"/>
        <v>Sat</v>
      </c>
      <c r="ME4" s="8" t="str">
        <f t="shared" si="11"/>
        <v>Sun</v>
      </c>
      <c r="MF4" s="8" t="str">
        <f t="shared" si="11"/>
        <v>Mon</v>
      </c>
      <c r="MG4" s="8" t="str">
        <f t="shared" si="11"/>
        <v>Tue</v>
      </c>
      <c r="MH4" s="8" t="str">
        <f t="shared" si="11"/>
        <v>Wed</v>
      </c>
      <c r="MI4" s="8" t="str">
        <f t="shared" si="11"/>
        <v>Thu</v>
      </c>
      <c r="MJ4" s="8" t="str">
        <f t="shared" si="11"/>
        <v>Fri</v>
      </c>
      <c r="MK4" s="8" t="str">
        <f t="shared" si="11"/>
        <v>Sat</v>
      </c>
      <c r="ML4" s="8" t="str">
        <f t="shared" si="11"/>
        <v>Sun</v>
      </c>
      <c r="MM4" s="8" t="str">
        <f t="shared" si="11"/>
        <v>Mon</v>
      </c>
      <c r="MN4" s="8" t="str">
        <f t="shared" si="11"/>
        <v>Tue</v>
      </c>
      <c r="MO4" s="8" t="str">
        <f t="shared" si="11"/>
        <v>Wed</v>
      </c>
      <c r="MP4" s="8" t="str">
        <f t="shared" si="11"/>
        <v>Thu</v>
      </c>
      <c r="MQ4" s="8" t="str">
        <f t="shared" si="11"/>
        <v>Fri</v>
      </c>
      <c r="MR4" s="8" t="str">
        <f t="shared" si="11"/>
        <v>Sat</v>
      </c>
      <c r="MS4" s="8" t="str">
        <f t="shared" si="11"/>
        <v>Sun</v>
      </c>
      <c r="MT4" s="8" t="str">
        <f t="shared" si="11"/>
        <v>Mon</v>
      </c>
      <c r="MU4" s="8" t="str">
        <f t="shared" si="11"/>
        <v>Tue</v>
      </c>
      <c r="MV4" s="8" t="str">
        <f t="shared" si="11"/>
        <v>Wed</v>
      </c>
      <c r="MW4" s="8" t="str">
        <f t="shared" si="11"/>
        <v>Thu</v>
      </c>
      <c r="MX4" s="8" t="str">
        <f t="shared" si="11"/>
        <v>Fri</v>
      </c>
      <c r="MY4" s="8" t="str">
        <f t="shared" si="11"/>
        <v>Sat</v>
      </c>
      <c r="MZ4" s="8" t="str">
        <f t="shared" si="11"/>
        <v>Sun</v>
      </c>
      <c r="NA4" s="8" t="str">
        <f t="shared" si="11"/>
        <v>Mon</v>
      </c>
      <c r="NB4" s="8" t="str">
        <f t="shared" si="11"/>
        <v>Tue</v>
      </c>
      <c r="NC4" s="8" t="str">
        <f t="shared" si="11"/>
        <v>Wed</v>
      </c>
      <c r="ND4" s="8" t="str">
        <f t="shared" si="11"/>
        <v>Thu</v>
      </c>
      <c r="NE4" s="14" t="s">
        <v>13</v>
      </c>
    </row>
    <row r="5" spans="1:369" x14ac:dyDescent="0.25">
      <c r="A5" s="1">
        <v>1</v>
      </c>
      <c r="B5" s="3" t="s">
        <v>133</v>
      </c>
      <c r="C5" s="38" t="s">
        <v>43</v>
      </c>
      <c r="D5" s="1"/>
      <c r="E5" s="1"/>
      <c r="F5" s="1"/>
      <c r="G5" s="1"/>
      <c r="H5" s="1"/>
      <c r="I5" s="1" t="s">
        <v>10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10</v>
      </c>
      <c r="AB5" s="1"/>
      <c r="AC5" s="1" t="s">
        <v>8</v>
      </c>
      <c r="AD5" s="1"/>
      <c r="AE5" s="1"/>
      <c r="AF5" s="1"/>
      <c r="AG5" s="1"/>
      <c r="AH5" s="1"/>
      <c r="AI5" s="1"/>
      <c r="AJ5" s="1"/>
      <c r="AK5" s="1"/>
      <c r="AL5" s="1"/>
      <c r="AM5" s="1" t="s">
        <v>10</v>
      </c>
      <c r="AN5" s="1" t="s">
        <v>10</v>
      </c>
      <c r="AO5" s="1"/>
      <c r="AP5" s="1"/>
      <c r="AQ5" s="1"/>
      <c r="AR5" s="1"/>
      <c r="AS5" s="1"/>
      <c r="AT5" s="1" t="s">
        <v>8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 t="s">
        <v>8</v>
      </c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 t="s">
        <v>8</v>
      </c>
      <c r="CK5" s="1" t="s">
        <v>8</v>
      </c>
      <c r="CL5" s="1" t="s">
        <v>173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 t="s">
        <v>8</v>
      </c>
      <c r="GC5" s="1"/>
      <c r="GD5" s="1"/>
      <c r="GE5" s="1"/>
      <c r="GF5" s="1"/>
      <c r="GG5" s="1"/>
      <c r="GH5" s="1"/>
      <c r="GI5" s="1"/>
      <c r="GJ5" s="1"/>
      <c r="GK5" s="1" t="s">
        <v>10</v>
      </c>
      <c r="GL5" s="1"/>
      <c r="GM5" s="1"/>
      <c r="GN5" s="1"/>
      <c r="GO5" s="1" t="s">
        <v>8</v>
      </c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 t="s">
        <v>8</v>
      </c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 t="s">
        <v>8</v>
      </c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4" t="s">
        <v>13</v>
      </c>
    </row>
    <row r="6" spans="1:369" x14ac:dyDescent="0.25">
      <c r="A6" s="1">
        <v>2</v>
      </c>
      <c r="B6" s="3" t="s">
        <v>133</v>
      </c>
      <c r="C6" s="38" t="s">
        <v>44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10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 t="s">
        <v>10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s">
        <v>10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 t="s">
        <v>8</v>
      </c>
      <c r="CK6" s="1" t="s">
        <v>8</v>
      </c>
      <c r="CL6" s="1" t="s">
        <v>173</v>
      </c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 t="s">
        <v>173</v>
      </c>
      <c r="GG6" s="1"/>
      <c r="GH6" s="1" t="s">
        <v>8</v>
      </c>
      <c r="GI6" s="1"/>
      <c r="GJ6" s="1" t="s">
        <v>8</v>
      </c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 t="s">
        <v>173</v>
      </c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4" t="s">
        <v>13</v>
      </c>
    </row>
    <row r="7" spans="1:369" x14ac:dyDescent="0.25">
      <c r="A7" s="1">
        <v>3</v>
      </c>
      <c r="B7" s="3" t="s">
        <v>133</v>
      </c>
      <c r="C7" s="38" t="s">
        <v>45</v>
      </c>
      <c r="D7" s="1"/>
      <c r="E7" s="1" t="s"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 t="s">
        <v>8</v>
      </c>
      <c r="CK7" s="1" t="s">
        <v>8</v>
      </c>
      <c r="CL7" s="1" t="s">
        <v>8</v>
      </c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s">
        <v>8</v>
      </c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 t="s">
        <v>8</v>
      </c>
      <c r="HZ7" s="1" t="s">
        <v>8</v>
      </c>
      <c r="IA7" s="1" t="s">
        <v>8</v>
      </c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4" t="s">
        <v>13</v>
      </c>
    </row>
    <row r="8" spans="1:369" x14ac:dyDescent="0.25">
      <c r="A8" s="1">
        <v>4</v>
      </c>
      <c r="B8" s="3" t="s">
        <v>133</v>
      </c>
      <c r="C8" s="38" t="s">
        <v>46</v>
      </c>
      <c r="D8" s="1"/>
      <c r="E8" s="1"/>
      <c r="F8" s="1"/>
      <c r="G8" s="1"/>
      <c r="H8" s="1"/>
      <c r="I8" s="1"/>
      <c r="J8" s="1" t="s">
        <v>10</v>
      </c>
      <c r="K8" s="1"/>
      <c r="L8" s="1"/>
      <c r="M8" s="1"/>
      <c r="N8" s="1"/>
      <c r="O8" s="1" t="s">
        <v>10</v>
      </c>
      <c r="P8" s="1"/>
      <c r="Q8" s="1"/>
      <c r="R8" s="1"/>
      <c r="S8" s="1"/>
      <c r="T8" s="1"/>
      <c r="U8" s="1"/>
      <c r="V8" s="1"/>
      <c r="W8" s="1"/>
      <c r="X8" s="1" t="s">
        <v>10</v>
      </c>
      <c r="Y8" s="1"/>
      <c r="Z8" s="1" t="s">
        <v>10</v>
      </c>
      <c r="AA8" s="1"/>
      <c r="AB8" s="1"/>
      <c r="AC8" s="1"/>
      <c r="AD8" s="1"/>
      <c r="AE8" s="1"/>
      <c r="AF8" s="1"/>
      <c r="AG8" s="1"/>
      <c r="AH8" s="1"/>
      <c r="AI8" s="1"/>
      <c r="AJ8" s="1" t="s">
        <v>10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10</v>
      </c>
      <c r="AV8" s="1"/>
      <c r="AW8" s="1"/>
      <c r="AX8" s="1"/>
      <c r="AY8" s="1"/>
      <c r="AZ8" s="1" t="s">
        <v>10</v>
      </c>
      <c r="BA8" s="1" t="s">
        <v>8</v>
      </c>
      <c r="BB8" s="1"/>
      <c r="BC8" s="1"/>
      <c r="BD8" s="1"/>
      <c r="BE8" s="1" t="s">
        <v>10</v>
      </c>
      <c r="BF8" s="1"/>
      <c r="BG8" s="1"/>
      <c r="BH8" s="1"/>
      <c r="BI8" s="1" t="s">
        <v>10</v>
      </c>
      <c r="BJ8" s="1"/>
      <c r="BK8" s="1"/>
      <c r="BL8" s="1"/>
      <c r="BM8" s="1" t="s">
        <v>10</v>
      </c>
      <c r="BN8" s="1" t="s">
        <v>10</v>
      </c>
      <c r="BO8" s="1"/>
      <c r="BP8" s="1" t="s">
        <v>10</v>
      </c>
      <c r="BQ8" s="1"/>
      <c r="BR8" s="1"/>
      <c r="BS8" s="1"/>
      <c r="BT8" s="1"/>
      <c r="BU8" s="1"/>
      <c r="BV8" s="1"/>
      <c r="BW8" s="1" t="s">
        <v>6</v>
      </c>
      <c r="BX8" s="1"/>
      <c r="BY8" s="1"/>
      <c r="BZ8" s="1" t="s">
        <v>8</v>
      </c>
      <c r="CA8" s="1" t="s">
        <v>8</v>
      </c>
      <c r="CB8" s="1" t="s">
        <v>8</v>
      </c>
      <c r="CC8" s="1"/>
      <c r="CD8" s="1"/>
      <c r="CE8" s="1"/>
      <c r="CF8" s="1"/>
      <c r="CG8" s="1"/>
      <c r="CH8" s="1"/>
      <c r="CI8" s="1"/>
      <c r="CJ8" s="1" t="s">
        <v>8</v>
      </c>
      <c r="CK8" s="1" t="s">
        <v>8</v>
      </c>
      <c r="CL8" s="1" t="s">
        <v>173</v>
      </c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 t="s">
        <v>8</v>
      </c>
      <c r="EA8" s="1"/>
      <c r="EB8" s="1"/>
      <c r="EC8" s="1"/>
      <c r="ED8" s="1"/>
      <c r="EE8" s="1"/>
      <c r="EF8" s="1" t="s">
        <v>10</v>
      </c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 t="s">
        <v>8</v>
      </c>
      <c r="GY8" s="1"/>
      <c r="GZ8" s="1"/>
      <c r="HA8" s="1"/>
      <c r="HB8" s="1"/>
      <c r="HC8" s="1"/>
      <c r="HD8" s="1" t="s">
        <v>10</v>
      </c>
      <c r="HE8" s="1"/>
      <c r="HF8" s="1"/>
      <c r="HG8" s="1"/>
      <c r="HH8" s="1"/>
      <c r="HI8" s="1"/>
      <c r="HJ8" s="1"/>
      <c r="HK8" s="1"/>
      <c r="HL8" s="1"/>
      <c r="HM8" s="1"/>
      <c r="HN8" s="1"/>
      <c r="HO8" s="1" t="s">
        <v>8</v>
      </c>
      <c r="HP8" s="1" t="s">
        <v>8</v>
      </c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4" t="s">
        <v>13</v>
      </c>
    </row>
    <row r="9" spans="1:369" x14ac:dyDescent="0.25">
      <c r="A9" s="1">
        <v>5</v>
      </c>
      <c r="B9" s="3" t="s">
        <v>133</v>
      </c>
      <c r="C9" s="38" t="s">
        <v>47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 t="s">
        <v>10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173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 t="s">
        <v>8</v>
      </c>
      <c r="CK9" s="1" t="s">
        <v>8</v>
      </c>
      <c r="CL9" s="1" t="s">
        <v>8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s">
        <v>8</v>
      </c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 t="s">
        <v>8</v>
      </c>
      <c r="GC9" s="1"/>
      <c r="GD9" s="1" t="s">
        <v>10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 t="s">
        <v>10</v>
      </c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 t="s">
        <v>8</v>
      </c>
      <c r="JB9" s="1" t="s">
        <v>8</v>
      </c>
      <c r="JC9" s="1" t="s">
        <v>8</v>
      </c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4" t="s">
        <v>13</v>
      </c>
    </row>
    <row r="10" spans="1:369" x14ac:dyDescent="0.25">
      <c r="A10" s="1">
        <v>6</v>
      </c>
      <c r="B10" s="3" t="s">
        <v>133</v>
      </c>
      <c r="C10" s="38" t="s">
        <v>48</v>
      </c>
      <c r="D10" s="1"/>
      <c r="E10" s="1" t="s">
        <v>8</v>
      </c>
      <c r="F10" s="1" t="s">
        <v>8</v>
      </c>
      <c r="G10" s="1"/>
      <c r="H10" s="1"/>
      <c r="I10" s="1"/>
      <c r="J10" s="1"/>
      <c r="K10" s="1"/>
      <c r="L10" s="1"/>
      <c r="M10" s="1"/>
      <c r="N10" s="1"/>
      <c r="O10" s="1" t="s">
        <v>10</v>
      </c>
      <c r="P10" s="1" t="s">
        <v>10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 t="s">
        <v>10</v>
      </c>
      <c r="AF10" s="1" t="s">
        <v>10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s">
        <v>8</v>
      </c>
      <c r="CC10" s="1"/>
      <c r="CD10" s="1"/>
      <c r="CE10" s="1"/>
      <c r="CF10" s="1"/>
      <c r="CG10" s="1"/>
      <c r="CH10" s="1"/>
      <c r="CI10" s="1"/>
      <c r="CJ10" s="1" t="s">
        <v>8</v>
      </c>
      <c r="CK10" s="1" t="s">
        <v>8</v>
      </c>
      <c r="CL10" s="1" t="s">
        <v>8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 t="s">
        <v>8</v>
      </c>
      <c r="DG10" s="1" t="s">
        <v>8</v>
      </c>
      <c r="DH10" s="1"/>
      <c r="DI10" s="1" t="s">
        <v>6</v>
      </c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s">
        <v>8</v>
      </c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 t="s">
        <v>8</v>
      </c>
      <c r="HD10" s="1" t="s">
        <v>10</v>
      </c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4" t="s">
        <v>13</v>
      </c>
    </row>
    <row r="11" spans="1:369" x14ac:dyDescent="0.25">
      <c r="A11" s="1">
        <v>7</v>
      </c>
      <c r="B11" s="3" t="s">
        <v>133</v>
      </c>
      <c r="C11" s="38" t="s">
        <v>49</v>
      </c>
      <c r="D11" s="1"/>
      <c r="E11" s="1"/>
      <c r="F11" s="1"/>
      <c r="G11" s="1"/>
      <c r="H11" s="1"/>
      <c r="I11" s="1"/>
      <c r="J11" s="1" t="s">
        <v>10</v>
      </c>
      <c r="K11" s="1"/>
      <c r="L11" s="1"/>
      <c r="M11" s="1"/>
      <c r="N11" s="1"/>
      <c r="O11" s="1" t="s">
        <v>10</v>
      </c>
      <c r="P11" s="1" t="s">
        <v>10</v>
      </c>
      <c r="Q11" s="1"/>
      <c r="R11" s="1" t="s">
        <v>10</v>
      </c>
      <c r="S11" s="1"/>
      <c r="T11" s="1"/>
      <c r="U11" s="1"/>
      <c r="V11" s="1" t="s">
        <v>10</v>
      </c>
      <c r="W11" s="1" t="s">
        <v>10</v>
      </c>
      <c r="X11" s="1" t="s">
        <v>10</v>
      </c>
      <c r="Y11" s="1"/>
      <c r="Z11" s="1"/>
      <c r="AA11" s="1"/>
      <c r="AB11" s="1"/>
      <c r="AC11" s="1"/>
      <c r="AD11" s="1" t="s">
        <v>10</v>
      </c>
      <c r="AE11" s="1"/>
      <c r="AF11" s="1" t="s">
        <v>10</v>
      </c>
      <c r="AG11" s="1"/>
      <c r="AH11" s="1"/>
      <c r="AI11" s="1"/>
      <c r="AJ11" s="1" t="s">
        <v>10</v>
      </c>
      <c r="AK11" s="1"/>
      <c r="AL11" s="1"/>
      <c r="AM11" s="1"/>
      <c r="AN11" s="1"/>
      <c r="AO11" s="1"/>
      <c r="AP11" s="1"/>
      <c r="AQ11" s="1" t="s">
        <v>10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 t="s">
        <v>10</v>
      </c>
      <c r="BF11" s="1"/>
      <c r="BG11" s="1"/>
      <c r="BH11" s="1"/>
      <c r="BI11" s="1"/>
      <c r="BJ11" s="1"/>
      <c r="BK11" s="1"/>
      <c r="BL11" s="1"/>
      <c r="BM11" s="1" t="s">
        <v>10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 t="s">
        <v>8</v>
      </c>
      <c r="CK11" s="1" t="s">
        <v>8</v>
      </c>
      <c r="CL11" s="1" t="s">
        <v>173</v>
      </c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 t="s">
        <v>10</v>
      </c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 t="s">
        <v>10</v>
      </c>
      <c r="DQ11" s="1" t="s">
        <v>10</v>
      </c>
      <c r="DR11" s="1"/>
      <c r="DS11" s="1"/>
      <c r="DT11" s="1"/>
      <c r="DU11" s="1" t="s">
        <v>173</v>
      </c>
      <c r="DV11" s="1"/>
      <c r="DW11" s="1"/>
      <c r="DX11" s="1" t="s">
        <v>10</v>
      </c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 t="s">
        <v>10</v>
      </c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 t="s">
        <v>10</v>
      </c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 t="s">
        <v>8</v>
      </c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 t="s">
        <v>10</v>
      </c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4" t="s">
        <v>13</v>
      </c>
    </row>
    <row r="12" spans="1:369" x14ac:dyDescent="0.25">
      <c r="A12" s="1">
        <v>8</v>
      </c>
      <c r="B12" s="3" t="s">
        <v>133</v>
      </c>
      <c r="C12" s="38" t="s">
        <v>50</v>
      </c>
      <c r="D12" s="1"/>
      <c r="E12" s="1"/>
      <c r="F12" s="1"/>
      <c r="G12" s="1"/>
      <c r="H12" s="1"/>
      <c r="I12" s="1"/>
      <c r="J12" s="1"/>
      <c r="K12" s="1"/>
      <c r="L12" s="1"/>
      <c r="M12" s="1" t="s">
        <v>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10</v>
      </c>
      <c r="AA12" s="1"/>
      <c r="AB12" s="1"/>
      <c r="AC12" s="1"/>
      <c r="AD12" s="1" t="s">
        <v>10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 t="s">
        <v>8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 t="s">
        <v>10</v>
      </c>
      <c r="BF12" s="1"/>
      <c r="BG12" s="1"/>
      <c r="BH12" s="1"/>
      <c r="BI12" s="1"/>
      <c r="BJ12" s="1"/>
      <c r="BK12" s="1"/>
      <c r="BL12" s="1"/>
      <c r="BM12" s="1" t="s">
        <v>10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 t="s">
        <v>8</v>
      </c>
      <c r="CK12" s="1" t="s">
        <v>8</v>
      </c>
      <c r="CL12" s="1" t="s">
        <v>8</v>
      </c>
      <c r="CM12" s="1"/>
      <c r="CN12" s="1"/>
      <c r="CO12" s="1"/>
      <c r="CP12" s="1"/>
      <c r="CQ12" s="1"/>
      <c r="CR12" s="1"/>
      <c r="CS12" s="1" t="s">
        <v>8</v>
      </c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 t="s">
        <v>10</v>
      </c>
      <c r="DK12" s="1"/>
      <c r="DL12" s="1"/>
      <c r="DM12" s="1" t="s">
        <v>10</v>
      </c>
      <c r="DN12" s="1"/>
      <c r="DO12" s="1"/>
      <c r="DP12" s="1" t="s">
        <v>10</v>
      </c>
      <c r="DQ12" s="1"/>
      <c r="DR12" s="1"/>
      <c r="DS12" s="1" t="s">
        <v>10</v>
      </c>
      <c r="DT12" s="1"/>
      <c r="DU12" s="1"/>
      <c r="DV12" s="1"/>
      <c r="DW12" s="1"/>
      <c r="DX12" s="1"/>
      <c r="DY12" s="1"/>
      <c r="DZ12" s="1" t="s">
        <v>10</v>
      </c>
      <c r="EA12" s="1"/>
      <c r="EB12" s="1"/>
      <c r="EC12" s="1"/>
      <c r="ED12" s="1"/>
      <c r="EE12" s="1"/>
      <c r="EF12" s="1"/>
      <c r="EG12" s="1"/>
      <c r="EH12" s="1"/>
      <c r="EI12" s="1" t="s">
        <v>8</v>
      </c>
      <c r="EJ12" s="1"/>
      <c r="EK12" s="1"/>
      <c r="EL12" s="1"/>
      <c r="EM12" s="1"/>
      <c r="EN12" s="1"/>
      <c r="EO12" s="1" t="s">
        <v>8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 t="s">
        <v>8</v>
      </c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 t="s">
        <v>10</v>
      </c>
      <c r="GF12" s="1"/>
      <c r="GG12" s="1"/>
      <c r="GH12" s="1"/>
      <c r="GI12" s="1"/>
      <c r="GJ12" s="1" t="s">
        <v>8</v>
      </c>
      <c r="GK12" s="1" t="s">
        <v>10</v>
      </c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 t="s">
        <v>10</v>
      </c>
      <c r="GX12" s="1" t="s">
        <v>8</v>
      </c>
      <c r="GY12" s="1"/>
      <c r="GZ12" s="1"/>
      <c r="HA12" s="1"/>
      <c r="HB12" s="1"/>
      <c r="HC12" s="1"/>
      <c r="HD12" s="1" t="s">
        <v>8</v>
      </c>
      <c r="HE12" s="1"/>
      <c r="HF12" s="1"/>
      <c r="HG12" s="1"/>
      <c r="HH12" s="1"/>
      <c r="HI12" s="1"/>
      <c r="HJ12" s="1"/>
      <c r="HK12" s="1" t="s">
        <v>10</v>
      </c>
      <c r="HL12" s="1" t="s">
        <v>10</v>
      </c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 t="s">
        <v>10</v>
      </c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 t="s">
        <v>8</v>
      </c>
      <c r="IQ12" s="1" t="s">
        <v>8</v>
      </c>
      <c r="IR12" s="1"/>
      <c r="IS12" s="1" t="s">
        <v>8</v>
      </c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4" t="s">
        <v>13</v>
      </c>
    </row>
    <row r="13" spans="1:369" x14ac:dyDescent="0.25">
      <c r="A13" s="1">
        <v>9</v>
      </c>
      <c r="B13" s="3" t="s">
        <v>133</v>
      </c>
      <c r="C13" s="38" t="s">
        <v>51</v>
      </c>
      <c r="D13" s="1"/>
      <c r="E13" s="1" t="s">
        <v>8</v>
      </c>
      <c r="F13" s="1" t="s">
        <v>8</v>
      </c>
      <c r="G13" s="1"/>
      <c r="H13" s="1"/>
      <c r="I13" s="1"/>
      <c r="J13" s="1"/>
      <c r="K13" s="1"/>
      <c r="L13" s="1"/>
      <c r="M13" s="1" t="s">
        <v>10</v>
      </c>
      <c r="N13" s="1"/>
      <c r="O13" s="1"/>
      <c r="P13" s="1" t="s">
        <v>10</v>
      </c>
      <c r="Q13" s="1"/>
      <c r="R13" s="1"/>
      <c r="S13" s="1"/>
      <c r="T13" s="1" t="s">
        <v>10</v>
      </c>
      <c r="U13" s="1"/>
      <c r="V13" s="1" t="s">
        <v>10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 t="s">
        <v>8</v>
      </c>
      <c r="AK13" s="1" t="s">
        <v>10</v>
      </c>
      <c r="AL13" s="1"/>
      <c r="AM13" s="1"/>
      <c r="AN13" s="1"/>
      <c r="AO13" s="1" t="s">
        <v>10</v>
      </c>
      <c r="AP13" s="1"/>
      <c r="AQ13" s="1"/>
      <c r="AR13" s="1" t="s">
        <v>10</v>
      </c>
      <c r="AS13" s="1" t="s">
        <v>8</v>
      </c>
      <c r="AT13" s="1"/>
      <c r="AU13" s="1"/>
      <c r="AV13" s="1"/>
      <c r="AW13" s="1"/>
      <c r="AX13" s="1"/>
      <c r="AY13" s="1"/>
      <c r="AZ13" s="1"/>
      <c r="BA13" s="1" t="s">
        <v>10</v>
      </c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 t="s">
        <v>10</v>
      </c>
      <c r="BM13" s="1"/>
      <c r="BN13" s="1"/>
      <c r="BO13" s="1"/>
      <c r="BP13" s="1"/>
      <c r="BQ13" s="1"/>
      <c r="BR13" s="1"/>
      <c r="BS13" s="1" t="s">
        <v>10</v>
      </c>
      <c r="BT13" s="1"/>
      <c r="BU13" s="1"/>
      <c r="BV13" s="1"/>
      <c r="BW13" s="1"/>
      <c r="BX13" s="1"/>
      <c r="BY13" s="1"/>
      <c r="BZ13" s="1"/>
      <c r="CA13" s="1" t="s">
        <v>10</v>
      </c>
      <c r="CB13" s="1"/>
      <c r="CC13" s="1"/>
      <c r="CD13" s="1"/>
      <c r="CE13" s="1"/>
      <c r="CF13" s="1"/>
      <c r="CG13" s="1"/>
      <c r="CH13" s="1"/>
      <c r="CI13" s="1"/>
      <c r="CJ13" s="1" t="s">
        <v>8</v>
      </c>
      <c r="CK13" s="1" t="s">
        <v>8</v>
      </c>
      <c r="CL13" s="1" t="s">
        <v>8</v>
      </c>
      <c r="CM13" s="1"/>
      <c r="CN13" s="1"/>
      <c r="CO13" s="1"/>
      <c r="CP13" s="1" t="s">
        <v>10</v>
      </c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 t="s">
        <v>10</v>
      </c>
      <c r="EM13" s="1"/>
      <c r="EN13" s="1"/>
      <c r="EO13" s="1"/>
      <c r="EP13" s="1"/>
      <c r="EQ13" s="1"/>
      <c r="ER13" s="1"/>
      <c r="ES13" s="1"/>
      <c r="ET13" s="1"/>
      <c r="EU13" s="1" t="s">
        <v>8</v>
      </c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 t="s">
        <v>10</v>
      </c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 t="s">
        <v>10</v>
      </c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 t="s">
        <v>10</v>
      </c>
      <c r="GT13" s="1"/>
      <c r="GU13" s="1"/>
      <c r="GV13" s="1" t="s">
        <v>10</v>
      </c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 t="s">
        <v>10</v>
      </c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 t="s">
        <v>8</v>
      </c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4" t="s">
        <v>13</v>
      </c>
    </row>
    <row r="14" spans="1:369" x14ac:dyDescent="0.25">
      <c r="A14" s="1">
        <v>10</v>
      </c>
      <c r="B14" s="3" t="s">
        <v>133</v>
      </c>
      <c r="C14" s="38" t="s">
        <v>52</v>
      </c>
      <c r="D14" s="1"/>
      <c r="E14" s="1"/>
      <c r="F14" s="1"/>
      <c r="G14" s="1"/>
      <c r="H14" s="1"/>
      <c r="I14" s="1"/>
      <c r="J14" s="1"/>
      <c r="K14" s="1"/>
      <c r="L14" s="1"/>
      <c r="M14" s="1" t="s">
        <v>10</v>
      </c>
      <c r="N14" s="1"/>
      <c r="O14" s="1" t="s">
        <v>10</v>
      </c>
      <c r="P14" s="1" t="s">
        <v>10</v>
      </c>
      <c r="Q14" s="1"/>
      <c r="R14" s="1"/>
      <c r="S14" s="1"/>
      <c r="T14" s="1" t="s">
        <v>10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 t="s">
        <v>8</v>
      </c>
      <c r="CK14" s="1" t="s">
        <v>8</v>
      </c>
      <c r="CL14" s="1" t="s">
        <v>8</v>
      </c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 t="s">
        <v>8</v>
      </c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 t="s">
        <v>8</v>
      </c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 t="s">
        <v>8</v>
      </c>
      <c r="JA14" s="1" t="s">
        <v>8</v>
      </c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4" t="s">
        <v>13</v>
      </c>
    </row>
    <row r="15" spans="1:369" x14ac:dyDescent="0.25">
      <c r="A15" s="1">
        <v>11</v>
      </c>
      <c r="B15" s="3" t="s">
        <v>133</v>
      </c>
      <c r="C15" s="38" t="s">
        <v>53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 t="s">
        <v>8</v>
      </c>
      <c r="CK15" s="1" t="s">
        <v>8</v>
      </c>
      <c r="CL15" s="1" t="s">
        <v>8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4" t="s">
        <v>13</v>
      </c>
    </row>
    <row r="16" spans="1:369" x14ac:dyDescent="0.25">
      <c r="A16" s="1">
        <v>12</v>
      </c>
      <c r="B16" s="3" t="s">
        <v>133</v>
      </c>
      <c r="C16" s="38" t="s">
        <v>54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 t="s">
        <v>8</v>
      </c>
      <c r="CK16" s="1" t="s">
        <v>8</v>
      </c>
      <c r="CL16" s="1" t="s">
        <v>173</v>
      </c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4" t="s">
        <v>13</v>
      </c>
    </row>
    <row r="17" spans="1:369" x14ac:dyDescent="0.25">
      <c r="A17" s="1">
        <v>13</v>
      </c>
      <c r="B17" s="3" t="s">
        <v>133</v>
      </c>
      <c r="C17" s="38" t="s">
        <v>55</v>
      </c>
      <c r="D17" s="1"/>
      <c r="E17" s="1"/>
      <c r="F17" s="1" t="s">
        <v>10</v>
      </c>
      <c r="G17" s="1"/>
      <c r="H17" s="1"/>
      <c r="I17" s="1"/>
      <c r="J17" s="1"/>
      <c r="K17" s="1" t="s">
        <v>10</v>
      </c>
      <c r="L17" s="1"/>
      <c r="M17" s="1" t="s">
        <v>10</v>
      </c>
      <c r="N17" s="1"/>
      <c r="O17" s="1"/>
      <c r="P17" s="1" t="s">
        <v>10</v>
      </c>
      <c r="Q17" s="1"/>
      <c r="R17" s="1"/>
      <c r="S17" s="1"/>
      <c r="T17" s="1" t="s">
        <v>8</v>
      </c>
      <c r="U17" s="1"/>
      <c r="V17" s="1" t="s">
        <v>8</v>
      </c>
      <c r="W17" s="1"/>
      <c r="X17" s="1"/>
      <c r="Y17" s="1"/>
      <c r="Z17" s="1"/>
      <c r="AA17" s="1"/>
      <c r="AB17" s="1"/>
      <c r="AC17" s="1"/>
      <c r="AD17" s="1" t="s">
        <v>10</v>
      </c>
      <c r="AE17" s="1" t="s">
        <v>10</v>
      </c>
      <c r="AF17" s="1"/>
      <c r="AG17" s="1"/>
      <c r="AH17" s="1" t="s">
        <v>10</v>
      </c>
      <c r="AI17" s="1"/>
      <c r="AJ17" s="1" t="s">
        <v>10</v>
      </c>
      <c r="AK17" s="1" t="s">
        <v>10</v>
      </c>
      <c r="AL17" s="1"/>
      <c r="AM17" s="1" t="s">
        <v>10</v>
      </c>
      <c r="AN17" s="1" t="s">
        <v>10</v>
      </c>
      <c r="AO17" s="1" t="s">
        <v>10</v>
      </c>
      <c r="AP17" s="1"/>
      <c r="AQ17" s="1" t="s">
        <v>10</v>
      </c>
      <c r="AR17" s="1" t="s">
        <v>10</v>
      </c>
      <c r="AS17" s="1" t="s">
        <v>10</v>
      </c>
      <c r="AT17" s="1"/>
      <c r="AU17" s="1"/>
      <c r="AV17" s="1" t="s">
        <v>10</v>
      </c>
      <c r="AW17" s="1"/>
      <c r="AX17" s="1" t="s">
        <v>10</v>
      </c>
      <c r="AY17" s="1"/>
      <c r="AZ17" s="1"/>
      <c r="BA17" s="1" t="s">
        <v>10</v>
      </c>
      <c r="BB17" s="1" t="s">
        <v>10</v>
      </c>
      <c r="BC17" s="1"/>
      <c r="BD17" s="1"/>
      <c r="BE17" s="1"/>
      <c r="BF17" s="1"/>
      <c r="BG17" s="1" t="s">
        <v>8</v>
      </c>
      <c r="BH17" s="1" t="s">
        <v>10</v>
      </c>
      <c r="BI17" s="1"/>
      <c r="BJ17" s="1"/>
      <c r="BK17" s="1"/>
      <c r="BL17" s="1"/>
      <c r="BM17" s="1" t="s">
        <v>10</v>
      </c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 t="s">
        <v>10</v>
      </c>
      <c r="CA17" s="1"/>
      <c r="CB17" s="1"/>
      <c r="CC17" s="1"/>
      <c r="CD17" s="1"/>
      <c r="CE17" s="1"/>
      <c r="CF17" s="1"/>
      <c r="CG17" s="1"/>
      <c r="CH17" s="1"/>
      <c r="CI17" s="1"/>
      <c r="CJ17" s="1" t="s">
        <v>8</v>
      </c>
      <c r="CK17" s="1" t="s">
        <v>8</v>
      </c>
      <c r="CL17" s="1" t="s">
        <v>8</v>
      </c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 t="s">
        <v>10</v>
      </c>
      <c r="DV17" s="1"/>
      <c r="DW17" s="1"/>
      <c r="DX17" s="1" t="s">
        <v>10</v>
      </c>
      <c r="DY17" s="1"/>
      <c r="DZ17" s="1"/>
      <c r="EA17" s="1"/>
      <c r="EB17" s="1"/>
      <c r="EC17" s="1"/>
      <c r="ED17" s="1"/>
      <c r="EE17" s="1"/>
      <c r="EF17" s="1" t="s">
        <v>10</v>
      </c>
      <c r="EG17" s="1"/>
      <c r="EH17" s="1"/>
      <c r="EI17" s="1"/>
      <c r="EJ17" s="1"/>
      <c r="EK17" s="1"/>
      <c r="EL17" s="1" t="s">
        <v>10</v>
      </c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s">
        <v>10</v>
      </c>
      <c r="FA17" s="1" t="s">
        <v>10</v>
      </c>
      <c r="FB17" s="1"/>
      <c r="FC17" s="1"/>
      <c r="FD17" s="1"/>
      <c r="FE17" s="1"/>
      <c r="FF17" s="1"/>
      <c r="FG17" s="1"/>
      <c r="FH17" s="1"/>
      <c r="FI17" s="1"/>
      <c r="FJ17" s="1"/>
      <c r="FK17" s="1" t="s">
        <v>8</v>
      </c>
      <c r="FL17" s="1"/>
      <c r="FM17" s="1"/>
      <c r="FN17" s="1"/>
      <c r="FO17" s="1"/>
      <c r="FP17" s="1" t="s">
        <v>10</v>
      </c>
      <c r="FQ17" s="1"/>
      <c r="FR17" s="1"/>
      <c r="FS17" s="1"/>
      <c r="FT17" s="1"/>
      <c r="FU17" s="1"/>
      <c r="FV17" s="1"/>
      <c r="FW17" s="1"/>
      <c r="FX17" s="1" t="s">
        <v>10</v>
      </c>
      <c r="FY17" s="1" t="s">
        <v>10</v>
      </c>
      <c r="FZ17" s="1"/>
      <c r="GA17" s="1"/>
      <c r="GB17" s="1"/>
      <c r="GC17" s="1"/>
      <c r="GD17" s="1" t="s">
        <v>10</v>
      </c>
      <c r="GE17" s="1" t="s">
        <v>10</v>
      </c>
      <c r="GF17" s="1" t="s">
        <v>10</v>
      </c>
      <c r="GG17" s="1"/>
      <c r="GH17" s="1"/>
      <c r="GI17" s="1"/>
      <c r="GJ17" s="1"/>
      <c r="GK17" s="1"/>
      <c r="GL17" s="1"/>
      <c r="GM17" s="1"/>
      <c r="GN17" s="1"/>
      <c r="GO17" s="1" t="s">
        <v>10</v>
      </c>
      <c r="GP17" s="1" t="s">
        <v>10</v>
      </c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 t="s">
        <v>8</v>
      </c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4" t="s">
        <v>13</v>
      </c>
    </row>
    <row r="18" spans="1:369" x14ac:dyDescent="0.25">
      <c r="A18" s="1">
        <v>14</v>
      </c>
      <c r="B18" s="3" t="s">
        <v>133</v>
      </c>
      <c r="C18" s="38" t="s">
        <v>56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 t="s">
        <v>8</v>
      </c>
      <c r="CK18" s="1" t="s">
        <v>8</v>
      </c>
      <c r="CL18" s="1" t="s">
        <v>8</v>
      </c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4" t="s">
        <v>13</v>
      </c>
    </row>
    <row r="19" spans="1:369" x14ac:dyDescent="0.25">
      <c r="A19" s="1">
        <v>15</v>
      </c>
      <c r="B19" s="3" t="s">
        <v>133</v>
      </c>
      <c r="C19" s="38" t="s">
        <v>57</v>
      </c>
      <c r="D19" s="1"/>
      <c r="E19" s="1" t="s">
        <v>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8</v>
      </c>
      <c r="U19" s="1"/>
      <c r="V19" s="1" t="s">
        <v>8</v>
      </c>
      <c r="W19" s="1" t="s">
        <v>8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 t="s">
        <v>10</v>
      </c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 t="s">
        <v>8</v>
      </c>
      <c r="CK19" s="1" t="s">
        <v>8</v>
      </c>
      <c r="CL19" s="1" t="s">
        <v>8</v>
      </c>
      <c r="CM19" s="1"/>
      <c r="CN19" s="1" t="s">
        <v>8</v>
      </c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 t="s">
        <v>8</v>
      </c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 t="s">
        <v>8</v>
      </c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 t="s">
        <v>8</v>
      </c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 t="s">
        <v>8</v>
      </c>
      <c r="FN19" s="1"/>
      <c r="FO19" s="1" t="s">
        <v>8</v>
      </c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4" t="s">
        <v>13</v>
      </c>
    </row>
    <row r="20" spans="1:369" x14ac:dyDescent="0.25">
      <c r="A20" s="1">
        <v>16</v>
      </c>
      <c r="B20" s="3" t="s">
        <v>133</v>
      </c>
      <c r="C20" s="38" t="s">
        <v>58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 t="s">
        <v>8</v>
      </c>
      <c r="CK20" s="1" t="s">
        <v>8</v>
      </c>
      <c r="CL20" s="1" t="s">
        <v>8</v>
      </c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4" t="s">
        <v>13</v>
      </c>
    </row>
    <row r="21" spans="1:369" x14ac:dyDescent="0.25">
      <c r="A21" s="1">
        <v>17</v>
      </c>
      <c r="B21" s="3" t="s">
        <v>133</v>
      </c>
      <c r="C21" s="38" t="s">
        <v>59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10</v>
      </c>
      <c r="P21" s="1"/>
      <c r="Q21" s="1" t="s">
        <v>8</v>
      </c>
      <c r="R21" s="1"/>
      <c r="S21" s="1"/>
      <c r="T21" s="1"/>
      <c r="U21" s="1"/>
      <c r="V21" s="1" t="s">
        <v>10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 t="s">
        <v>8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 t="s">
        <v>10</v>
      </c>
      <c r="BJ21" s="1"/>
      <c r="BK21" s="1"/>
      <c r="BL21" s="1"/>
      <c r="BM21" s="1" t="s">
        <v>10</v>
      </c>
      <c r="BN21" s="1" t="s">
        <v>8</v>
      </c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 t="s">
        <v>8</v>
      </c>
      <c r="CK21" s="1" t="s">
        <v>8</v>
      </c>
      <c r="CL21" s="1" t="s">
        <v>8</v>
      </c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 t="s">
        <v>10</v>
      </c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 t="s">
        <v>173</v>
      </c>
      <c r="FY21" s="1"/>
      <c r="FZ21" s="1"/>
      <c r="GA21" s="1"/>
      <c r="GB21" s="1" t="s">
        <v>8</v>
      </c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 t="s">
        <v>8</v>
      </c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4" t="s">
        <v>13</v>
      </c>
    </row>
    <row r="22" spans="1:369" x14ac:dyDescent="0.25">
      <c r="A22" s="1">
        <v>18</v>
      </c>
      <c r="B22" s="3" t="s">
        <v>133</v>
      </c>
      <c r="C22" s="38" t="s">
        <v>60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10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 t="s">
        <v>10</v>
      </c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 t="s">
        <v>8</v>
      </c>
      <c r="CK22" s="1" t="s">
        <v>8</v>
      </c>
      <c r="CL22" s="1" t="s">
        <v>173</v>
      </c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 t="s">
        <v>173</v>
      </c>
      <c r="EX22" s="1"/>
      <c r="EY22" s="1"/>
      <c r="EZ22" s="1" t="s">
        <v>8</v>
      </c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 t="s">
        <v>173</v>
      </c>
      <c r="GU22" s="1"/>
      <c r="GV22" s="1" t="s">
        <v>8</v>
      </c>
      <c r="GW22" s="1" t="s">
        <v>8</v>
      </c>
      <c r="GX22" s="1"/>
      <c r="GY22" s="1"/>
      <c r="GZ22" s="1" t="s">
        <v>8</v>
      </c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4" t="s">
        <v>13</v>
      </c>
    </row>
    <row r="23" spans="1:369" x14ac:dyDescent="0.25">
      <c r="A23" s="1">
        <v>19</v>
      </c>
      <c r="B23" s="3" t="s">
        <v>133</v>
      </c>
      <c r="C23" s="38" t="s">
        <v>61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 t="s">
        <v>8</v>
      </c>
      <c r="AK23" s="1"/>
      <c r="AL23" s="1"/>
      <c r="AM23" s="1"/>
      <c r="AN23" s="1"/>
      <c r="AO23" s="1"/>
      <c r="AP23" s="1"/>
      <c r="AQ23" s="1"/>
      <c r="AR23" s="1" t="s">
        <v>10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 t="s">
        <v>10</v>
      </c>
      <c r="BP23" s="1"/>
      <c r="BQ23" s="1"/>
      <c r="BR23" s="1"/>
      <c r="BS23" s="1"/>
      <c r="BT23" s="1" t="s">
        <v>10</v>
      </c>
      <c r="BU23" s="1" t="s">
        <v>8</v>
      </c>
      <c r="BV23" s="1"/>
      <c r="BW23" s="1"/>
      <c r="BX23" s="1"/>
      <c r="BY23" s="1"/>
      <c r="BZ23" s="1"/>
      <c r="CA23" s="1" t="s">
        <v>8</v>
      </c>
      <c r="CB23" s="1" t="s">
        <v>10</v>
      </c>
      <c r="CC23" s="1"/>
      <c r="CD23" s="1"/>
      <c r="CE23" s="1"/>
      <c r="CF23" s="1"/>
      <c r="CG23" s="1"/>
      <c r="CH23" s="1"/>
      <c r="CI23" s="1"/>
      <c r="CJ23" s="1" t="s">
        <v>8</v>
      </c>
      <c r="CK23" s="1" t="s">
        <v>8</v>
      </c>
      <c r="CL23" s="1" t="s">
        <v>173</v>
      </c>
      <c r="CM23" s="1"/>
      <c r="CN23" s="1"/>
      <c r="CO23" s="1"/>
      <c r="CP23" s="1" t="s">
        <v>8</v>
      </c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 t="s">
        <v>173</v>
      </c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 t="s">
        <v>10</v>
      </c>
      <c r="ET23" s="1"/>
      <c r="EU23" s="1"/>
      <c r="EV23" s="1" t="s">
        <v>10</v>
      </c>
      <c r="EW23" s="1" t="s">
        <v>8</v>
      </c>
      <c r="EX23" s="1"/>
      <c r="EY23" s="1"/>
      <c r="EZ23" s="1"/>
      <c r="FA23" s="1"/>
      <c r="FB23" s="1" t="s">
        <v>10</v>
      </c>
      <c r="FC23" s="1" t="s">
        <v>10</v>
      </c>
      <c r="FD23" s="1" t="s">
        <v>10</v>
      </c>
      <c r="FE23" s="1"/>
      <c r="FF23" s="1" t="s">
        <v>8</v>
      </c>
      <c r="FG23" s="1"/>
      <c r="FH23" s="1"/>
      <c r="FI23" s="1"/>
      <c r="FJ23" s="1" t="s">
        <v>10</v>
      </c>
      <c r="FK23" s="1"/>
      <c r="FL23" s="1"/>
      <c r="FM23" s="1"/>
      <c r="FN23" s="1"/>
      <c r="FO23" s="1"/>
      <c r="FP23" s="1"/>
      <c r="FQ23" s="1" t="s">
        <v>10</v>
      </c>
      <c r="FR23" s="1"/>
      <c r="FS23" s="1"/>
      <c r="FT23" s="1" t="s">
        <v>8</v>
      </c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 t="s">
        <v>8</v>
      </c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 t="s">
        <v>10</v>
      </c>
      <c r="HI23" s="1"/>
      <c r="HJ23" s="1"/>
      <c r="HK23" s="1"/>
      <c r="HL23" s="1"/>
      <c r="HM23" s="1"/>
      <c r="HN23" s="1"/>
      <c r="HO23" s="1"/>
      <c r="HP23" s="1"/>
      <c r="HQ23" s="1" t="s">
        <v>10</v>
      </c>
      <c r="HR23" s="1" t="s">
        <v>10</v>
      </c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4" t="s">
        <v>13</v>
      </c>
    </row>
    <row r="24" spans="1:369" x14ac:dyDescent="0.25">
      <c r="A24" s="1">
        <v>20</v>
      </c>
      <c r="B24" s="3" t="s">
        <v>133</v>
      </c>
      <c r="C24" s="38" t="s">
        <v>62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10</v>
      </c>
      <c r="P24" s="1" t="s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8</v>
      </c>
      <c r="AF24" s="1"/>
      <c r="AG24" s="1"/>
      <c r="AH24" s="1"/>
      <c r="AI24" s="1"/>
      <c r="AJ24" s="1" t="s">
        <v>10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 t="s">
        <v>8</v>
      </c>
      <c r="BN24" s="1"/>
      <c r="BO24" s="1"/>
      <c r="BP24" s="1"/>
      <c r="BQ24" s="1"/>
      <c r="BR24" s="1"/>
      <c r="BS24" s="1" t="s">
        <v>173</v>
      </c>
      <c r="BT24" s="1"/>
      <c r="BU24" s="1" t="s">
        <v>8</v>
      </c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 t="s">
        <v>8</v>
      </c>
      <c r="CK24" s="1" t="s">
        <v>8</v>
      </c>
      <c r="CL24" s="1" t="s">
        <v>8</v>
      </c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 t="s">
        <v>8</v>
      </c>
      <c r="DK24" s="1"/>
      <c r="DL24" s="1"/>
      <c r="DM24" s="1"/>
      <c r="DN24" s="1"/>
      <c r="DO24" s="1"/>
      <c r="DP24" s="1"/>
      <c r="DQ24" s="1" t="s">
        <v>10</v>
      </c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 t="s">
        <v>8</v>
      </c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 t="s">
        <v>8</v>
      </c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 t="s">
        <v>173</v>
      </c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 t="s">
        <v>6</v>
      </c>
      <c r="IA24" s="1" t="s">
        <v>6</v>
      </c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4" t="s">
        <v>13</v>
      </c>
    </row>
    <row r="25" spans="1:369" x14ac:dyDescent="0.25">
      <c r="A25" s="1">
        <v>21</v>
      </c>
      <c r="B25" s="3" t="s">
        <v>133</v>
      </c>
      <c r="C25" s="38" t="s">
        <v>63</v>
      </c>
      <c r="D25" s="1"/>
      <c r="E25" s="1"/>
      <c r="F25" s="1"/>
      <c r="G25" s="1"/>
      <c r="H25" s="1" t="s">
        <v>10</v>
      </c>
      <c r="I25" s="1" t="s">
        <v>10</v>
      </c>
      <c r="J25" s="1"/>
      <c r="K25" s="1" t="s">
        <v>10</v>
      </c>
      <c r="L25" s="1"/>
      <c r="M25" s="1" t="s">
        <v>10</v>
      </c>
      <c r="N25" s="1"/>
      <c r="O25" s="1"/>
      <c r="P25" s="1"/>
      <c r="Q25" s="1"/>
      <c r="R25" s="1" t="s">
        <v>10</v>
      </c>
      <c r="S25" s="1"/>
      <c r="T25" s="1" t="s">
        <v>10</v>
      </c>
      <c r="U25" s="1"/>
      <c r="V25" s="1"/>
      <c r="W25" s="1"/>
      <c r="X25" s="1"/>
      <c r="Y25" s="1"/>
      <c r="Z25" s="1" t="s">
        <v>10</v>
      </c>
      <c r="AA25" s="1"/>
      <c r="AB25" s="1"/>
      <c r="AC25" s="1"/>
      <c r="AD25" s="1"/>
      <c r="AE25" s="1"/>
      <c r="AF25" s="1" t="s">
        <v>10</v>
      </c>
      <c r="AG25" s="1"/>
      <c r="AH25" s="1" t="s">
        <v>10</v>
      </c>
      <c r="AI25" s="1"/>
      <c r="AJ25" s="1"/>
      <c r="AK25" s="1"/>
      <c r="AL25" s="1"/>
      <c r="AM25" s="1"/>
      <c r="AN25" s="1" t="s">
        <v>10</v>
      </c>
      <c r="AO25" s="1"/>
      <c r="AP25" s="1"/>
      <c r="AQ25" s="1"/>
      <c r="AR25" s="1" t="s">
        <v>10</v>
      </c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 t="s">
        <v>10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 t="s">
        <v>10</v>
      </c>
      <c r="CB25" s="1" t="s">
        <v>10</v>
      </c>
      <c r="CC25" s="1"/>
      <c r="CD25" s="1"/>
      <c r="CE25" s="1"/>
      <c r="CF25" s="1"/>
      <c r="CG25" s="1"/>
      <c r="CH25" s="1"/>
      <c r="CI25" s="1"/>
      <c r="CJ25" s="1" t="s">
        <v>8</v>
      </c>
      <c r="CK25" s="1" t="s">
        <v>8</v>
      </c>
      <c r="CL25" s="1" t="s">
        <v>8</v>
      </c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 t="s">
        <v>10</v>
      </c>
      <c r="CX25" s="1"/>
      <c r="CY25" s="1" t="s">
        <v>10</v>
      </c>
      <c r="CZ25" s="1"/>
      <c r="DA25" s="1"/>
      <c r="DB25" s="1"/>
      <c r="DC25" s="1"/>
      <c r="DD25" s="1"/>
      <c r="DE25" s="1"/>
      <c r="DF25" s="1" t="s">
        <v>10</v>
      </c>
      <c r="DG25" s="1"/>
      <c r="DH25" s="1"/>
      <c r="DI25" s="1"/>
      <c r="DJ25" s="1" t="s">
        <v>10</v>
      </c>
      <c r="DK25" s="1" t="s">
        <v>10</v>
      </c>
      <c r="DL25" s="1"/>
      <c r="DM25" s="1" t="s">
        <v>10</v>
      </c>
      <c r="DN25" s="1"/>
      <c r="DO25" s="1"/>
      <c r="DP25" s="1"/>
      <c r="DQ25" s="1"/>
      <c r="DR25" s="1" t="s">
        <v>10</v>
      </c>
      <c r="DS25" s="1" t="s">
        <v>10</v>
      </c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 t="s">
        <v>10</v>
      </c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 t="s">
        <v>10</v>
      </c>
      <c r="FG25" s="1"/>
      <c r="FH25" s="1"/>
      <c r="FI25" s="1" t="s">
        <v>10</v>
      </c>
      <c r="FJ25" s="1"/>
      <c r="FK25" s="1"/>
      <c r="FL25" s="1"/>
      <c r="FM25" s="1"/>
      <c r="FN25" s="1"/>
      <c r="FO25" s="1" t="s">
        <v>10</v>
      </c>
      <c r="FP25" s="1"/>
      <c r="FQ25" s="1"/>
      <c r="FR25" s="1"/>
      <c r="FS25" s="1"/>
      <c r="FT25" s="1" t="s">
        <v>10</v>
      </c>
      <c r="FU25" s="1" t="s">
        <v>10</v>
      </c>
      <c r="FV25" s="1"/>
      <c r="FW25" s="1" t="s">
        <v>10</v>
      </c>
      <c r="FX25" s="1"/>
      <c r="FY25" s="1" t="s">
        <v>10</v>
      </c>
      <c r="FZ25" s="1"/>
      <c r="GA25" s="1"/>
      <c r="GB25" s="1"/>
      <c r="GC25" s="1"/>
      <c r="GD25" s="1" t="s">
        <v>8</v>
      </c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 t="s">
        <v>10</v>
      </c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 t="s">
        <v>10</v>
      </c>
      <c r="HT25" s="1"/>
      <c r="HU25" s="1"/>
      <c r="HV25" s="1" t="s">
        <v>10</v>
      </c>
      <c r="HW25" s="1"/>
      <c r="HX25" s="1"/>
      <c r="HY25" s="1"/>
      <c r="HZ25" s="1"/>
      <c r="IA25" s="1"/>
      <c r="IB25" s="1"/>
      <c r="IC25" s="1"/>
      <c r="ID25" s="1"/>
      <c r="IE25" s="1" t="s">
        <v>10</v>
      </c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4" t="s">
        <v>13</v>
      </c>
    </row>
    <row r="26" spans="1:369" x14ac:dyDescent="0.25">
      <c r="A26" s="1">
        <v>22</v>
      </c>
      <c r="B26" s="3" t="s">
        <v>133</v>
      </c>
      <c r="C26" s="38" t="s">
        <v>64</v>
      </c>
      <c r="D26" s="1"/>
      <c r="E26" s="1" t="s">
        <v>10</v>
      </c>
      <c r="F26" s="1"/>
      <c r="G26" s="1"/>
      <c r="H26" s="1"/>
      <c r="I26" s="1"/>
      <c r="J26" s="1"/>
      <c r="K26" s="1"/>
      <c r="L26" s="1"/>
      <c r="M26" s="1"/>
      <c r="N26" s="1"/>
      <c r="O26" s="1" t="s">
        <v>10</v>
      </c>
      <c r="P26" s="1"/>
      <c r="Q26" s="1"/>
      <c r="R26" s="1" t="s">
        <v>10</v>
      </c>
      <c r="S26" s="1"/>
      <c r="T26" s="1"/>
      <c r="U26" s="1"/>
      <c r="V26" s="1"/>
      <c r="W26" s="1"/>
      <c r="X26" s="1"/>
      <c r="Y26" s="1" t="s">
        <v>10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 t="s">
        <v>10</v>
      </c>
      <c r="AK26" s="1"/>
      <c r="AL26" s="1"/>
      <c r="AM26" s="1"/>
      <c r="AN26" s="1"/>
      <c r="AO26" s="1"/>
      <c r="AP26" s="1"/>
      <c r="AQ26" s="1" t="s">
        <v>10</v>
      </c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 t="s">
        <v>10</v>
      </c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 t="s">
        <v>8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 t="s">
        <v>8</v>
      </c>
      <c r="CK26" s="1" t="s">
        <v>8</v>
      </c>
      <c r="CL26" s="1" t="s">
        <v>8</v>
      </c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 t="s">
        <v>173</v>
      </c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 t="s">
        <v>10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 t="s">
        <v>173</v>
      </c>
      <c r="GL26" s="1" t="s">
        <v>6</v>
      </c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 t="s">
        <v>8</v>
      </c>
      <c r="HO26" s="1" t="s">
        <v>173</v>
      </c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 t="s">
        <v>8</v>
      </c>
      <c r="IQ26" s="1" t="s">
        <v>173</v>
      </c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4" t="s">
        <v>13</v>
      </c>
    </row>
    <row r="27" spans="1:369" x14ac:dyDescent="0.25">
      <c r="A27" s="1">
        <v>23</v>
      </c>
      <c r="B27" s="3" t="s">
        <v>133</v>
      </c>
      <c r="C27" s="38" t="s">
        <v>65</v>
      </c>
      <c r="D27" s="1"/>
      <c r="E27" s="1"/>
      <c r="F27" s="1"/>
      <c r="G27" s="1"/>
      <c r="H27" s="1"/>
      <c r="I27" s="1"/>
      <c r="J27" s="1"/>
      <c r="K27" s="1"/>
      <c r="L27" s="1"/>
      <c r="M27" s="1" t="s">
        <v>10</v>
      </c>
      <c r="N27" s="1"/>
      <c r="O27" s="1" t="s">
        <v>10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 t="s">
        <v>8</v>
      </c>
      <c r="AB27" s="1"/>
      <c r="AC27" s="1"/>
      <c r="AD27" s="1"/>
      <c r="AE27" s="1" t="s">
        <v>8</v>
      </c>
      <c r="AF27" s="1"/>
      <c r="AG27" s="1"/>
      <c r="AH27" s="1"/>
      <c r="AI27" s="1"/>
      <c r="AJ27" s="1" t="s">
        <v>10</v>
      </c>
      <c r="AK27" s="1"/>
      <c r="AL27" s="1"/>
      <c r="AM27" s="1"/>
      <c r="AN27" s="1"/>
      <c r="AO27" s="1" t="s">
        <v>10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 t="s">
        <v>10</v>
      </c>
      <c r="BN27" s="1"/>
      <c r="BO27" s="1" t="s">
        <v>8</v>
      </c>
      <c r="BP27" s="1" t="s">
        <v>8</v>
      </c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 t="s">
        <v>8</v>
      </c>
      <c r="CK27" s="1" t="s">
        <v>8</v>
      </c>
      <c r="CL27" s="1" t="s">
        <v>8</v>
      </c>
      <c r="CM27" s="1"/>
      <c r="CN27" s="1" t="s">
        <v>10</v>
      </c>
      <c r="CO27" s="1"/>
      <c r="CP27" s="1"/>
      <c r="CQ27" s="1"/>
      <c r="CR27" s="1"/>
      <c r="CS27" s="1"/>
      <c r="CT27" s="1"/>
      <c r="CU27" s="1"/>
      <c r="CV27" s="1"/>
      <c r="CW27" s="1" t="s">
        <v>10</v>
      </c>
      <c r="CX27" s="1"/>
      <c r="CY27" s="1"/>
      <c r="CZ27" s="1"/>
      <c r="DA27" s="1"/>
      <c r="DB27" s="1" t="s">
        <v>8</v>
      </c>
      <c r="DC27" s="1"/>
      <c r="DD27" s="1"/>
      <c r="DE27" s="1"/>
      <c r="DF27" s="1" t="s">
        <v>10</v>
      </c>
      <c r="DG27" s="1"/>
      <c r="DH27" s="1"/>
      <c r="DI27" s="1"/>
      <c r="DJ27" s="1"/>
      <c r="DK27" s="1" t="s">
        <v>10</v>
      </c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 t="s">
        <v>10</v>
      </c>
      <c r="FS27" s="1"/>
      <c r="FT27" s="1"/>
      <c r="FU27" s="1"/>
      <c r="FV27" s="1"/>
      <c r="FW27" s="1"/>
      <c r="FX27" s="1" t="s">
        <v>10</v>
      </c>
      <c r="FY27" s="1" t="s">
        <v>10</v>
      </c>
      <c r="FZ27" s="1"/>
      <c r="GA27" s="1"/>
      <c r="GB27" s="1"/>
      <c r="GC27" s="1"/>
      <c r="GD27" s="1"/>
      <c r="GE27" s="1" t="s">
        <v>8</v>
      </c>
      <c r="GF27" s="1" t="s">
        <v>8</v>
      </c>
      <c r="GG27" s="1"/>
      <c r="GH27" s="1"/>
      <c r="GI27" s="1"/>
      <c r="GJ27" s="1"/>
      <c r="GK27" s="1"/>
      <c r="GL27" s="1"/>
      <c r="GM27" s="1" t="s">
        <v>10</v>
      </c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 t="s">
        <v>10</v>
      </c>
      <c r="HK27" s="1"/>
      <c r="HL27" s="1" t="s">
        <v>10</v>
      </c>
      <c r="HM27" s="1"/>
      <c r="HN27" s="1"/>
      <c r="HO27" s="1" t="s">
        <v>10</v>
      </c>
      <c r="HP27" s="1"/>
      <c r="HQ27" s="1" t="s">
        <v>8</v>
      </c>
      <c r="HR27" s="1"/>
      <c r="HS27" s="1"/>
      <c r="HT27" s="1"/>
      <c r="HU27" s="1"/>
      <c r="HV27" s="1"/>
      <c r="HW27" s="1"/>
      <c r="HX27" s="1"/>
      <c r="HY27" s="1"/>
      <c r="HZ27" s="1" t="s">
        <v>10</v>
      </c>
      <c r="IA27" s="1" t="s">
        <v>10</v>
      </c>
      <c r="IB27" s="1" t="s">
        <v>10</v>
      </c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4" t="s">
        <v>13</v>
      </c>
    </row>
    <row r="28" spans="1:369" x14ac:dyDescent="0.25">
      <c r="A28" s="1">
        <v>24</v>
      </c>
      <c r="B28" s="3" t="s">
        <v>133</v>
      </c>
      <c r="C28" s="38" t="s">
        <v>66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 t="s">
        <v>8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 t="s">
        <v>8</v>
      </c>
      <c r="CK28" s="1" t="s">
        <v>8</v>
      </c>
      <c r="CL28" s="1" t="s">
        <v>8</v>
      </c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 t="s">
        <v>8</v>
      </c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 t="s">
        <v>8</v>
      </c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 t="s">
        <v>8</v>
      </c>
      <c r="GR28" s="1"/>
      <c r="GS28" s="1" t="s">
        <v>8</v>
      </c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 t="s">
        <v>8</v>
      </c>
      <c r="HK28" s="1" t="s">
        <v>8</v>
      </c>
      <c r="HL28" s="1" t="s">
        <v>8</v>
      </c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4" t="s">
        <v>13</v>
      </c>
    </row>
    <row r="29" spans="1:369" x14ac:dyDescent="0.25">
      <c r="A29" s="1">
        <v>25</v>
      </c>
      <c r="B29" s="3" t="s">
        <v>133</v>
      </c>
      <c r="C29" s="38" t="s">
        <v>67</v>
      </c>
      <c r="D29" s="1"/>
      <c r="E29" s="1"/>
      <c r="F29" s="1" t="s">
        <v>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 t="s">
        <v>8</v>
      </c>
      <c r="CK29" s="1" t="s">
        <v>8</v>
      </c>
      <c r="CL29" s="1" t="s">
        <v>8</v>
      </c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 t="s">
        <v>10</v>
      </c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 t="s">
        <v>8</v>
      </c>
      <c r="FY29" s="1" t="s">
        <v>6</v>
      </c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4" t="s">
        <v>13</v>
      </c>
    </row>
    <row r="30" spans="1:369" x14ac:dyDescent="0.25">
      <c r="A30" s="1">
        <v>26</v>
      </c>
      <c r="B30" s="3" t="s">
        <v>133</v>
      </c>
      <c r="C30" s="38" t="s">
        <v>68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 t="s">
        <v>8</v>
      </c>
      <c r="CK30" s="1" t="s">
        <v>8</v>
      </c>
      <c r="CL30" s="1" t="s">
        <v>173</v>
      </c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4" t="s">
        <v>13</v>
      </c>
    </row>
    <row r="31" spans="1:369" ht="14.25" customHeight="1" x14ac:dyDescent="0.25">
      <c r="A31" s="1">
        <v>27</v>
      </c>
      <c r="B31" s="3" t="s">
        <v>133</v>
      </c>
      <c r="C31" s="38" t="s">
        <v>69</v>
      </c>
      <c r="D31" s="1"/>
      <c r="E31" s="1"/>
      <c r="F31" s="1"/>
      <c r="G31" s="1"/>
      <c r="H31" s="1"/>
      <c r="I31" s="1"/>
      <c r="J31" s="1"/>
      <c r="K31" s="1" t="s">
        <v>10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10</v>
      </c>
      <c r="X31" s="1"/>
      <c r="Y31" s="1" t="s">
        <v>10</v>
      </c>
      <c r="Z31" s="1"/>
      <c r="AA31" s="1"/>
      <c r="AB31" s="1"/>
      <c r="AC31" s="1"/>
      <c r="AD31" s="1" t="s">
        <v>10</v>
      </c>
      <c r="AE31" s="1"/>
      <c r="AF31" s="1"/>
      <c r="AG31" s="1"/>
      <c r="AH31" s="1"/>
      <c r="AI31" s="1"/>
      <c r="AJ31" s="1" t="s">
        <v>10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 t="s">
        <v>10</v>
      </c>
      <c r="AV31" s="1"/>
      <c r="AW31" s="1"/>
      <c r="AX31" s="1"/>
      <c r="AY31" s="1"/>
      <c r="AZ31" s="1"/>
      <c r="BA31" s="1"/>
      <c r="BB31" s="1"/>
      <c r="BC31" s="1"/>
      <c r="BD31" s="1"/>
      <c r="BE31" s="1" t="s">
        <v>10</v>
      </c>
      <c r="BF31" s="1" t="s">
        <v>10</v>
      </c>
      <c r="BG31" s="1"/>
      <c r="BH31" s="1"/>
      <c r="BI31" s="1"/>
      <c r="BJ31" s="1"/>
      <c r="BK31" s="1"/>
      <c r="BL31" s="1"/>
      <c r="BM31" s="1"/>
      <c r="BN31" s="1" t="s">
        <v>10</v>
      </c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 t="s">
        <v>10</v>
      </c>
      <c r="CA31" s="1" t="s">
        <v>8</v>
      </c>
      <c r="CB31" s="1" t="s">
        <v>8</v>
      </c>
      <c r="CC31" s="1"/>
      <c r="CD31" s="1"/>
      <c r="CE31" s="1"/>
      <c r="CF31" s="1"/>
      <c r="CG31" s="1"/>
      <c r="CH31" s="1"/>
      <c r="CI31" s="1"/>
      <c r="CJ31" s="1" t="s">
        <v>8</v>
      </c>
      <c r="CK31" s="1" t="s">
        <v>8</v>
      </c>
      <c r="CL31" s="1" t="s">
        <v>173</v>
      </c>
      <c r="CM31" s="1"/>
      <c r="CN31" s="1"/>
      <c r="CO31" s="1" t="s">
        <v>10</v>
      </c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 t="s">
        <v>10</v>
      </c>
      <c r="DD31" s="1"/>
      <c r="DE31" s="1"/>
      <c r="DF31" s="1"/>
      <c r="DG31" s="1"/>
      <c r="DH31" s="1"/>
      <c r="DI31" s="1"/>
      <c r="DJ31" s="1"/>
      <c r="DK31" s="1"/>
      <c r="DL31" s="1" t="s">
        <v>10</v>
      </c>
      <c r="DM31" s="1"/>
      <c r="DN31" s="1"/>
      <c r="DO31" s="1"/>
      <c r="DP31" s="1"/>
      <c r="DQ31" s="1" t="s">
        <v>10</v>
      </c>
      <c r="DR31" s="1"/>
      <c r="DS31" s="1" t="s">
        <v>10</v>
      </c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 t="s">
        <v>10</v>
      </c>
      <c r="EE31" s="1" t="s">
        <v>10</v>
      </c>
      <c r="EF31" s="1" t="s">
        <v>10</v>
      </c>
      <c r="EG31" s="1"/>
      <c r="EH31" s="1" t="s">
        <v>10</v>
      </c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 t="s">
        <v>10</v>
      </c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 t="s">
        <v>10</v>
      </c>
      <c r="FU31" s="1" t="s">
        <v>10</v>
      </c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 t="s">
        <v>6</v>
      </c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 t="s">
        <v>10</v>
      </c>
      <c r="GY31" s="1"/>
      <c r="GZ31" s="1"/>
      <c r="HA31" s="1" t="s">
        <v>10</v>
      </c>
      <c r="HB31" s="1"/>
      <c r="HC31" s="1" t="s">
        <v>10</v>
      </c>
      <c r="HD31" s="1"/>
      <c r="HE31" s="1"/>
      <c r="HF31" s="1" t="s">
        <v>10</v>
      </c>
      <c r="HG31" s="1"/>
      <c r="HH31" s="1"/>
      <c r="HI31" s="1"/>
      <c r="HJ31" s="1" t="s">
        <v>10</v>
      </c>
      <c r="HK31" s="1" t="s">
        <v>10</v>
      </c>
      <c r="HL31" s="1"/>
      <c r="HM31" s="1" t="s">
        <v>10</v>
      </c>
      <c r="HN31" s="1" t="s">
        <v>10</v>
      </c>
      <c r="HO31" s="1"/>
      <c r="HP31" s="1"/>
      <c r="HQ31" s="1" t="s">
        <v>10</v>
      </c>
      <c r="HR31" s="1"/>
      <c r="HS31" s="1"/>
      <c r="HT31" s="1"/>
      <c r="HU31" s="1" t="s">
        <v>10</v>
      </c>
      <c r="HV31" s="1"/>
      <c r="HW31" s="1"/>
      <c r="HX31" s="1"/>
      <c r="HY31" s="1" t="s">
        <v>10</v>
      </c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 t="s">
        <v>8</v>
      </c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4" t="s">
        <v>13</v>
      </c>
    </row>
    <row r="32" spans="1:369" ht="15.75" customHeight="1" x14ac:dyDescent="0.25">
      <c r="A32" s="1">
        <v>28</v>
      </c>
      <c r="B32" s="3" t="s">
        <v>133</v>
      </c>
      <c r="C32" s="38" t="s">
        <v>70</v>
      </c>
      <c r="D32" s="1"/>
      <c r="E32" s="1"/>
      <c r="F32" s="1"/>
      <c r="G32" s="1"/>
      <c r="H32" s="1"/>
      <c r="I32" s="1"/>
      <c r="J32" s="1"/>
      <c r="K32" s="1"/>
      <c r="L32" s="1" t="s">
        <v>10</v>
      </c>
      <c r="M32" s="1"/>
      <c r="N32" s="1"/>
      <c r="O32" s="1"/>
      <c r="P32" s="1"/>
      <c r="Q32" s="1" t="s">
        <v>10</v>
      </c>
      <c r="R32" s="1" t="s">
        <v>10</v>
      </c>
      <c r="S32" s="1"/>
      <c r="T32" s="1"/>
      <c r="U32" s="1"/>
      <c r="V32" s="1"/>
      <c r="W32" s="1" t="s">
        <v>10</v>
      </c>
      <c r="X32" s="1"/>
      <c r="Y32" s="1" t="s">
        <v>10</v>
      </c>
      <c r="Z32" s="1" t="s">
        <v>10</v>
      </c>
      <c r="AA32" s="1"/>
      <c r="AB32" s="1"/>
      <c r="AC32" s="1"/>
      <c r="AD32" s="1"/>
      <c r="AE32" s="1"/>
      <c r="AF32" s="1"/>
      <c r="AG32" s="1" t="s">
        <v>10</v>
      </c>
      <c r="AH32" s="1"/>
      <c r="AI32" s="1"/>
      <c r="AJ32" s="1"/>
      <c r="AK32" s="1"/>
      <c r="AL32" s="1"/>
      <c r="AM32" s="1" t="s">
        <v>10</v>
      </c>
      <c r="AN32" s="1" t="s">
        <v>10</v>
      </c>
      <c r="AO32" s="1"/>
      <c r="AP32" s="1"/>
      <c r="AQ32" s="1" t="s">
        <v>10</v>
      </c>
      <c r="AR32" s="1" t="s">
        <v>10</v>
      </c>
      <c r="AS32" s="1" t="s">
        <v>10</v>
      </c>
      <c r="AT32" s="1"/>
      <c r="AU32" s="1" t="s">
        <v>10</v>
      </c>
      <c r="AV32" s="1" t="s">
        <v>10</v>
      </c>
      <c r="AW32" s="1"/>
      <c r="AX32" s="1" t="s">
        <v>10</v>
      </c>
      <c r="AY32" s="1"/>
      <c r="AZ32" s="1"/>
      <c r="BA32" s="1"/>
      <c r="BB32" s="1"/>
      <c r="BC32" s="1"/>
      <c r="BD32" s="1"/>
      <c r="BE32" s="1" t="s">
        <v>10</v>
      </c>
      <c r="BF32" s="1"/>
      <c r="BG32" s="1" t="s">
        <v>10</v>
      </c>
      <c r="BH32" s="1"/>
      <c r="BI32" s="1" t="s">
        <v>10</v>
      </c>
      <c r="BJ32" s="1"/>
      <c r="BK32" s="1"/>
      <c r="BL32" s="1"/>
      <c r="BM32" s="1" t="s">
        <v>10</v>
      </c>
      <c r="BN32" s="1"/>
      <c r="BO32" s="1"/>
      <c r="BP32" s="1"/>
      <c r="BQ32" s="1" t="s">
        <v>10</v>
      </c>
      <c r="BR32" s="1"/>
      <c r="BS32" s="1" t="s">
        <v>10</v>
      </c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 t="s">
        <v>8</v>
      </c>
      <c r="CK32" s="1" t="s">
        <v>8</v>
      </c>
      <c r="CL32" s="1" t="s">
        <v>173</v>
      </c>
      <c r="CM32" s="1"/>
      <c r="CN32" s="1"/>
      <c r="CO32" s="1" t="s">
        <v>10</v>
      </c>
      <c r="CP32" s="1" t="s">
        <v>10</v>
      </c>
      <c r="CQ32" s="1"/>
      <c r="CR32" s="1"/>
      <c r="CS32" s="1" t="s">
        <v>8</v>
      </c>
      <c r="CT32" s="1"/>
      <c r="CU32" s="1"/>
      <c r="CV32" s="1"/>
      <c r="CW32" s="1" t="s">
        <v>8</v>
      </c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 t="s">
        <v>10</v>
      </c>
      <c r="DO32" s="1"/>
      <c r="DP32" s="1" t="s">
        <v>8</v>
      </c>
      <c r="DQ32" s="1" t="s">
        <v>10</v>
      </c>
      <c r="DR32" s="1"/>
      <c r="DS32" s="1"/>
      <c r="DT32" s="1"/>
      <c r="DU32" s="1"/>
      <c r="DV32" s="1"/>
      <c r="DW32" s="1"/>
      <c r="DX32" s="1" t="s">
        <v>10</v>
      </c>
      <c r="DY32" s="1"/>
      <c r="DZ32" s="1" t="s">
        <v>10</v>
      </c>
      <c r="EA32" s="1"/>
      <c r="EB32" s="1"/>
      <c r="EC32" s="1"/>
      <c r="ED32" s="1" t="s">
        <v>10</v>
      </c>
      <c r="EE32" s="1" t="s">
        <v>10</v>
      </c>
      <c r="EF32" s="1"/>
      <c r="EG32" s="1"/>
      <c r="EH32" s="1" t="s">
        <v>10</v>
      </c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 t="s">
        <v>10</v>
      </c>
      <c r="ET32" s="1"/>
      <c r="EU32" s="1"/>
      <c r="EV32" s="1"/>
      <c r="EW32" s="1"/>
      <c r="EX32" s="1"/>
      <c r="EY32" s="1"/>
      <c r="EZ32" s="1"/>
      <c r="FA32" s="1"/>
      <c r="FB32" s="1" t="s">
        <v>10</v>
      </c>
      <c r="FC32" s="1" t="s">
        <v>10</v>
      </c>
      <c r="FD32" s="1"/>
      <c r="FE32" s="1"/>
      <c r="FF32" s="1"/>
      <c r="FG32" s="1"/>
      <c r="FH32" s="1" t="s">
        <v>10</v>
      </c>
      <c r="FI32" s="1"/>
      <c r="FJ32" s="1" t="s">
        <v>10</v>
      </c>
      <c r="FK32" s="1" t="s">
        <v>10</v>
      </c>
      <c r="FL32" s="1"/>
      <c r="FM32" s="1"/>
      <c r="FN32" s="1"/>
      <c r="FO32" s="1"/>
      <c r="FP32" s="1" t="s">
        <v>10</v>
      </c>
      <c r="FQ32" s="1" t="s">
        <v>10</v>
      </c>
      <c r="FR32" s="1" t="s">
        <v>10</v>
      </c>
      <c r="FS32" s="1"/>
      <c r="FT32" s="1"/>
      <c r="FU32" s="1" t="s">
        <v>10</v>
      </c>
      <c r="FV32" s="1"/>
      <c r="FW32" s="1" t="s">
        <v>10</v>
      </c>
      <c r="FX32" s="1" t="s">
        <v>10</v>
      </c>
      <c r="FY32" s="1"/>
      <c r="FZ32" s="1"/>
      <c r="GA32" s="1" t="s">
        <v>10</v>
      </c>
      <c r="GB32" s="1" t="s">
        <v>10</v>
      </c>
      <c r="GC32" s="1"/>
      <c r="GD32" s="1" t="s">
        <v>10</v>
      </c>
      <c r="GE32" s="1"/>
      <c r="GF32" s="1" t="s">
        <v>10</v>
      </c>
      <c r="GG32" s="1"/>
      <c r="GH32" s="1"/>
      <c r="GI32" s="1"/>
      <c r="GJ32" s="1"/>
      <c r="GK32" s="1" t="s">
        <v>8</v>
      </c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 t="s">
        <v>10</v>
      </c>
      <c r="HN32" s="1" t="s">
        <v>10</v>
      </c>
      <c r="HO32" s="1"/>
      <c r="HP32" s="1"/>
      <c r="HQ32" s="1" t="s">
        <v>10</v>
      </c>
      <c r="HR32" s="1"/>
      <c r="HS32" s="1"/>
      <c r="HT32" s="1"/>
      <c r="HU32" s="1"/>
      <c r="HV32" s="1"/>
      <c r="HW32" s="1"/>
      <c r="HX32" s="1"/>
      <c r="HY32" s="1" t="s">
        <v>8</v>
      </c>
      <c r="HZ32" s="1"/>
      <c r="IA32" s="1"/>
      <c r="IB32" s="1" t="s">
        <v>10</v>
      </c>
      <c r="IC32" s="1" t="s">
        <v>10</v>
      </c>
      <c r="ID32" s="1"/>
      <c r="IE32" s="1" t="s">
        <v>10</v>
      </c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4" t="s">
        <v>13</v>
      </c>
    </row>
    <row r="33" spans="1:369" x14ac:dyDescent="0.25">
      <c r="A33" s="1">
        <v>29</v>
      </c>
      <c r="B33" s="3" t="s">
        <v>133</v>
      </c>
      <c r="C33" s="38" t="s">
        <v>71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">
        <v>8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 t="s">
        <v>8</v>
      </c>
      <c r="CK33" s="1" t="s">
        <v>8</v>
      </c>
      <c r="CL33" s="1" t="s">
        <v>8</v>
      </c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 t="s">
        <v>8</v>
      </c>
      <c r="EV33" s="1" t="s">
        <v>8</v>
      </c>
      <c r="EW33" s="1" t="s">
        <v>8</v>
      </c>
      <c r="EX33" s="1"/>
      <c r="EY33" s="1"/>
      <c r="EZ33" s="1"/>
      <c r="FA33" s="1"/>
      <c r="FB33" s="1"/>
      <c r="FC33" s="1"/>
      <c r="FD33" s="1"/>
      <c r="FE33" s="1"/>
      <c r="FF33" s="1" t="s">
        <v>10</v>
      </c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 t="s">
        <v>10</v>
      </c>
      <c r="FZ33" s="1"/>
      <c r="GA33" s="1"/>
      <c r="GB33" s="1"/>
      <c r="GC33" s="1" t="s">
        <v>10</v>
      </c>
      <c r="GD33" s="1"/>
      <c r="GE33" s="1" t="s">
        <v>8</v>
      </c>
      <c r="GF33" s="1" t="s">
        <v>8</v>
      </c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 t="s">
        <v>8</v>
      </c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 t="s">
        <v>8</v>
      </c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4" t="s">
        <v>13</v>
      </c>
    </row>
    <row r="34" spans="1:369" x14ac:dyDescent="0.25">
      <c r="A34" s="1">
        <v>30</v>
      </c>
      <c r="B34" s="3" t="s">
        <v>133</v>
      </c>
      <c r="C34" s="38" t="s">
        <v>72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 t="s">
        <v>10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s">
        <v>8</v>
      </c>
      <c r="CC34" s="1"/>
      <c r="CD34" s="1"/>
      <c r="CE34" s="1"/>
      <c r="CF34" s="1"/>
      <c r="CG34" s="1"/>
      <c r="CH34" s="1"/>
      <c r="CI34" s="1"/>
      <c r="CJ34" s="1" t="s">
        <v>8</v>
      </c>
      <c r="CK34" s="1" t="s">
        <v>8</v>
      </c>
      <c r="CL34" s="1" t="s">
        <v>8</v>
      </c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s">
        <v>8</v>
      </c>
      <c r="FA34" s="1" t="s">
        <v>8</v>
      </c>
      <c r="FB34" s="1" t="s">
        <v>8</v>
      </c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 t="s">
        <v>8</v>
      </c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 t="s">
        <v>8</v>
      </c>
      <c r="GQ34" s="1" t="s">
        <v>8</v>
      </c>
      <c r="GR34" s="1" t="s">
        <v>8</v>
      </c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 t="s">
        <v>8</v>
      </c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 t="s">
        <v>8</v>
      </c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 t="s">
        <v>8</v>
      </c>
      <c r="IU34" s="1"/>
      <c r="IV34" s="1"/>
      <c r="IW34" s="1"/>
      <c r="IX34" s="1"/>
      <c r="IY34" s="1"/>
      <c r="IZ34" s="1"/>
      <c r="JA34" s="1"/>
      <c r="JB34" s="1"/>
      <c r="JC34" s="1" t="s">
        <v>8</v>
      </c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4" t="s">
        <v>13</v>
      </c>
    </row>
    <row r="35" spans="1:369" x14ac:dyDescent="0.25">
      <c r="A35" s="1">
        <v>31</v>
      </c>
      <c r="B35" s="3" t="s">
        <v>133</v>
      </c>
      <c r="C35" s="38" t="s">
        <v>179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">
        <v>10</v>
      </c>
      <c r="AF35" s="1" t="s">
        <v>10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 t="s">
        <v>8</v>
      </c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 t="s">
        <v>8</v>
      </c>
      <c r="CK35" s="1" t="s">
        <v>8</v>
      </c>
      <c r="CL35" s="1" t="s">
        <v>8</v>
      </c>
      <c r="CM35" s="1"/>
      <c r="CN35" s="1"/>
      <c r="CO35" s="1"/>
      <c r="CP35" s="1"/>
      <c r="CQ35" s="1"/>
      <c r="CR35" s="1"/>
      <c r="CS35" s="1"/>
      <c r="CT35" s="1"/>
      <c r="CU35" s="1"/>
      <c r="CV35" s="1" t="s">
        <v>10</v>
      </c>
      <c r="CW35" s="1" t="s">
        <v>8</v>
      </c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 t="s">
        <v>8</v>
      </c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 t="s">
        <v>8</v>
      </c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 t="s">
        <v>8</v>
      </c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 t="s">
        <v>8</v>
      </c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 t="s">
        <v>10</v>
      </c>
      <c r="GF35" s="1" t="s">
        <v>8</v>
      </c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 t="s">
        <v>8</v>
      </c>
      <c r="GV35" s="1" t="s">
        <v>8</v>
      </c>
      <c r="GW35" s="1" t="s">
        <v>6</v>
      </c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 t="s">
        <v>8</v>
      </c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 t="s">
        <v>8</v>
      </c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 t="s">
        <v>8</v>
      </c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4"/>
    </row>
    <row r="36" spans="1:369" x14ac:dyDescent="0.25">
      <c r="A36" s="1">
        <v>32</v>
      </c>
      <c r="B36" s="3" t="s">
        <v>133</v>
      </c>
      <c r="C36" s="38" t="s">
        <v>180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s">
        <v>10</v>
      </c>
      <c r="AL36" s="1"/>
      <c r="AM36" s="1"/>
      <c r="AN36" s="1"/>
      <c r="AO36" s="1"/>
      <c r="AP36" s="1"/>
      <c r="AQ36" s="1" t="s">
        <v>10</v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 t="s">
        <v>10</v>
      </c>
      <c r="BC36" s="1"/>
      <c r="BD36" s="1"/>
      <c r="BE36" s="1" t="s">
        <v>10</v>
      </c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 t="s">
        <v>8</v>
      </c>
      <c r="CK36" s="1" t="s">
        <v>8</v>
      </c>
      <c r="CL36" s="1" t="s">
        <v>8</v>
      </c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4"/>
    </row>
    <row r="37" spans="1:369" x14ac:dyDescent="0.25">
      <c r="A37" s="1">
        <v>33</v>
      </c>
      <c r="B37" s="3" t="s">
        <v>133</v>
      </c>
      <c r="C37" s="38" t="s">
        <v>181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 t="s">
        <v>10</v>
      </c>
      <c r="BP37" s="1" t="s">
        <v>10</v>
      </c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 t="s">
        <v>8</v>
      </c>
      <c r="CK37" s="1" t="s">
        <v>8</v>
      </c>
      <c r="CL37" s="1" t="s">
        <v>8</v>
      </c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 t="s">
        <v>10</v>
      </c>
      <c r="CY37" s="1" t="s">
        <v>10</v>
      </c>
      <c r="CZ37" s="1"/>
      <c r="DA37" s="1"/>
      <c r="DB37" s="1"/>
      <c r="DC37" s="1"/>
      <c r="DD37" s="1" t="s">
        <v>10</v>
      </c>
      <c r="DE37" s="1"/>
      <c r="DF37" s="1" t="s">
        <v>10</v>
      </c>
      <c r="DG37" s="1"/>
      <c r="DH37" s="1"/>
      <c r="DI37" s="1"/>
      <c r="DJ37" s="1" t="s">
        <v>10</v>
      </c>
      <c r="DK37" s="1"/>
      <c r="DL37" s="1"/>
      <c r="DM37" s="1"/>
      <c r="DN37" s="1"/>
      <c r="DO37" s="1"/>
      <c r="DP37" s="1"/>
      <c r="DQ37" s="1"/>
      <c r="DR37" s="1" t="s">
        <v>10</v>
      </c>
      <c r="DS37" s="1" t="s">
        <v>10</v>
      </c>
      <c r="DT37" s="1"/>
      <c r="DU37" s="1" t="s">
        <v>10</v>
      </c>
      <c r="DV37" s="1"/>
      <c r="DW37" s="1"/>
      <c r="DX37" s="1"/>
      <c r="DY37" s="1"/>
      <c r="DZ37" s="1"/>
      <c r="EA37" s="1" t="s">
        <v>10</v>
      </c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 t="s">
        <v>10</v>
      </c>
      <c r="FG37" s="1"/>
      <c r="FH37" s="1"/>
      <c r="FI37" s="1" t="s">
        <v>8</v>
      </c>
      <c r="FJ37" s="1"/>
      <c r="FK37" s="1"/>
      <c r="FL37" s="1"/>
      <c r="FM37" s="1"/>
      <c r="FN37" s="1"/>
      <c r="FO37" s="1" t="s">
        <v>10</v>
      </c>
      <c r="FP37" s="1"/>
      <c r="FQ37" s="1" t="s">
        <v>10</v>
      </c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 t="s">
        <v>10</v>
      </c>
      <c r="GN37" s="1"/>
      <c r="GO37" s="1" t="s">
        <v>10</v>
      </c>
      <c r="GP37" s="1"/>
      <c r="GQ37" s="1"/>
      <c r="GR37" s="1"/>
      <c r="GS37" s="1" t="s">
        <v>8</v>
      </c>
      <c r="GT37" s="1"/>
      <c r="GU37" s="1"/>
      <c r="GV37" s="1"/>
      <c r="GW37" s="1"/>
      <c r="GX37" s="1"/>
      <c r="GY37" s="1"/>
      <c r="GZ37" s="1"/>
      <c r="HA37" s="1"/>
      <c r="HB37" s="1"/>
      <c r="HC37" s="1" t="s">
        <v>8</v>
      </c>
      <c r="HD37" s="1"/>
      <c r="HE37" s="1"/>
      <c r="HF37" s="1"/>
      <c r="HG37" s="1"/>
      <c r="HH37" s="1"/>
      <c r="HI37" s="1"/>
      <c r="HJ37" s="1" t="s">
        <v>10</v>
      </c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 t="s">
        <v>8</v>
      </c>
      <c r="HV37" s="1"/>
      <c r="HW37" s="1"/>
      <c r="HX37" s="1"/>
      <c r="HY37" s="1"/>
      <c r="HZ37" s="1"/>
      <c r="IA37" s="1"/>
      <c r="IB37" s="1" t="s">
        <v>8</v>
      </c>
      <c r="IC37" s="1" t="s">
        <v>8</v>
      </c>
      <c r="ID37" s="1"/>
      <c r="IE37" s="1"/>
      <c r="IF37" s="1"/>
      <c r="IG37" s="1"/>
      <c r="IH37" s="1"/>
      <c r="II37" s="1"/>
      <c r="IJ37" s="1" t="s">
        <v>8</v>
      </c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 t="s">
        <v>8</v>
      </c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4"/>
    </row>
    <row r="38" spans="1:369" x14ac:dyDescent="0.25">
      <c r="A38" s="1">
        <v>34</v>
      </c>
      <c r="B38" s="3" t="s">
        <v>133</v>
      </c>
      <c r="C38" s="38" t="s">
        <v>182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 t="s">
        <v>8</v>
      </c>
      <c r="CK38" s="1" t="s">
        <v>8</v>
      </c>
      <c r="CL38" s="1" t="s">
        <v>8</v>
      </c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 t="s">
        <v>10</v>
      </c>
      <c r="CY38" s="1"/>
      <c r="CZ38" s="1"/>
      <c r="DA38" s="1"/>
      <c r="DB38" s="1"/>
      <c r="DC38" s="1" t="s">
        <v>10</v>
      </c>
      <c r="DD38" s="1"/>
      <c r="DE38" s="1"/>
      <c r="DF38" s="1"/>
      <c r="DG38" s="1"/>
      <c r="DH38" s="1"/>
      <c r="DI38" s="1"/>
      <c r="DJ38" s="1"/>
      <c r="DK38" s="1" t="s">
        <v>10</v>
      </c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 t="s">
        <v>8</v>
      </c>
      <c r="EV38" s="1"/>
      <c r="EW38" s="1"/>
      <c r="EX38" s="1"/>
      <c r="EY38" s="1"/>
      <c r="EZ38" s="1"/>
      <c r="FA38" s="1" t="s">
        <v>8</v>
      </c>
      <c r="FB38" s="1" t="s">
        <v>8</v>
      </c>
      <c r="FC38" s="1" t="s">
        <v>8</v>
      </c>
      <c r="FD38" s="1"/>
      <c r="FE38" s="1"/>
      <c r="FF38" s="1"/>
      <c r="FG38" s="1"/>
      <c r="FH38" s="1"/>
      <c r="FI38" s="1"/>
      <c r="FJ38" s="1" t="s">
        <v>10</v>
      </c>
      <c r="FK38" s="1"/>
      <c r="FL38" s="1"/>
      <c r="FM38" s="1" t="s">
        <v>8</v>
      </c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 t="s">
        <v>10</v>
      </c>
      <c r="HG38" s="1"/>
      <c r="HH38" s="1" t="s">
        <v>8</v>
      </c>
      <c r="HI38" s="1"/>
      <c r="HJ38" s="1" t="s">
        <v>10</v>
      </c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 t="s">
        <v>10</v>
      </c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 t="s">
        <v>8</v>
      </c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4"/>
    </row>
    <row r="39" spans="1:369" x14ac:dyDescent="0.25">
      <c r="A39" s="1">
        <v>35</v>
      </c>
      <c r="B39" s="3" t="s">
        <v>133</v>
      </c>
      <c r="C39" s="39" t="s">
        <v>73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 t="s">
        <v>6</v>
      </c>
      <c r="AR39" s="1" t="s">
        <v>6</v>
      </c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 t="s">
        <v>8</v>
      </c>
      <c r="CK39" s="1" t="s">
        <v>8</v>
      </c>
      <c r="CL39" s="1" t="s">
        <v>8</v>
      </c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 t="s">
        <v>6</v>
      </c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 t="s">
        <v>10</v>
      </c>
      <c r="ID39" s="1" t="s">
        <v>10</v>
      </c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4" t="s">
        <v>13</v>
      </c>
    </row>
    <row r="40" spans="1:369" x14ac:dyDescent="0.25">
      <c r="A40" s="1">
        <v>36</v>
      </c>
      <c r="B40" s="3" t="s">
        <v>133</v>
      </c>
      <c r="C40" s="39" t="s">
        <v>74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 t="s">
        <v>8</v>
      </c>
      <c r="CK40" s="1" t="s">
        <v>8</v>
      </c>
      <c r="CL40" s="1" t="s">
        <v>8</v>
      </c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8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4" t="s">
        <v>13</v>
      </c>
    </row>
    <row r="41" spans="1:369" x14ac:dyDescent="0.25">
      <c r="A41" s="1">
        <v>37</v>
      </c>
      <c r="B41" s="3" t="s">
        <v>133</v>
      </c>
      <c r="C41" s="39" t="s">
        <v>75</v>
      </c>
      <c r="D41" s="1"/>
      <c r="E41" s="1"/>
      <c r="F41" s="1"/>
      <c r="G41" s="1"/>
      <c r="H41" s="1"/>
      <c r="I41" s="1" t="s">
        <v>10</v>
      </c>
      <c r="J41" s="1"/>
      <c r="K41" s="1" t="s">
        <v>10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10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 t="s">
        <v>6</v>
      </c>
      <c r="BH41" s="1" t="s">
        <v>6</v>
      </c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 t="s">
        <v>8</v>
      </c>
      <c r="CK41" s="1" t="s">
        <v>8</v>
      </c>
      <c r="CL41" s="1" t="s">
        <v>173</v>
      </c>
      <c r="CM41" s="1"/>
      <c r="CN41" s="1"/>
      <c r="CO41" s="1"/>
      <c r="CP41" s="1"/>
      <c r="CQ41" s="1" t="s">
        <v>10</v>
      </c>
      <c r="CR41" s="1"/>
      <c r="CS41" s="1"/>
      <c r="CT41" s="1"/>
      <c r="CU41" s="1" t="s">
        <v>10</v>
      </c>
      <c r="CV41" s="1"/>
      <c r="CW41" s="1"/>
      <c r="CX41" s="1"/>
      <c r="CY41" s="1"/>
      <c r="CZ41" s="1"/>
      <c r="DA41" s="1"/>
      <c r="DB41" s="1"/>
      <c r="DC41" s="1"/>
      <c r="DD41" s="1"/>
      <c r="DE41" s="1" t="s">
        <v>10</v>
      </c>
      <c r="DF41" s="1" t="s">
        <v>10</v>
      </c>
      <c r="DG41" s="1"/>
      <c r="DH41" s="1"/>
      <c r="DI41" s="1" t="s">
        <v>10</v>
      </c>
      <c r="DJ41" s="1"/>
      <c r="DK41" s="1"/>
      <c r="DL41" s="1"/>
      <c r="DM41" s="1"/>
      <c r="DN41" s="1" t="s">
        <v>10</v>
      </c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 t="s">
        <v>8</v>
      </c>
      <c r="GD41" s="1" t="s">
        <v>8</v>
      </c>
      <c r="GE41" s="1"/>
      <c r="GF41" s="1"/>
      <c r="GG41" s="1"/>
      <c r="GH41" s="1" t="s">
        <v>10</v>
      </c>
      <c r="GI41" s="1"/>
      <c r="GJ41" s="1"/>
      <c r="GK41" s="1"/>
      <c r="GL41" s="1" t="s">
        <v>10</v>
      </c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 t="s">
        <v>6</v>
      </c>
      <c r="HR41" s="1" t="s">
        <v>6</v>
      </c>
      <c r="HS41" s="1" t="s">
        <v>6</v>
      </c>
      <c r="HT41" s="1" t="s">
        <v>6</v>
      </c>
      <c r="HU41" s="1" t="s">
        <v>6</v>
      </c>
      <c r="HV41" s="1" t="s">
        <v>6</v>
      </c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 t="s">
        <v>173</v>
      </c>
      <c r="IY41" s="1"/>
      <c r="IZ41" s="1" t="s">
        <v>8</v>
      </c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4" t="s">
        <v>13</v>
      </c>
    </row>
    <row r="42" spans="1:369" x14ac:dyDescent="0.25">
      <c r="A42" s="1">
        <v>38</v>
      </c>
      <c r="B42" s="3" t="s">
        <v>133</v>
      </c>
      <c r="C42" s="39" t="s">
        <v>76</v>
      </c>
      <c r="D42" s="1"/>
      <c r="E42" s="1" t="s">
        <v>10</v>
      </c>
      <c r="F42" s="1" t="s">
        <v>10</v>
      </c>
      <c r="G42" s="1"/>
      <c r="H42" s="1" t="s">
        <v>10</v>
      </c>
      <c r="I42" s="1"/>
      <c r="J42" s="1" t="s">
        <v>10</v>
      </c>
      <c r="K42" s="1" t="s">
        <v>10</v>
      </c>
      <c r="L42" s="1"/>
      <c r="M42" s="1" t="s">
        <v>10</v>
      </c>
      <c r="N42" s="1"/>
      <c r="O42" s="1" t="s">
        <v>10</v>
      </c>
      <c r="P42" s="1" t="s">
        <v>10</v>
      </c>
      <c r="Q42" s="1" t="s">
        <v>10</v>
      </c>
      <c r="R42" s="1" t="s">
        <v>10</v>
      </c>
      <c r="S42" s="1"/>
      <c r="T42" s="1"/>
      <c r="U42" s="1"/>
      <c r="V42" s="1"/>
      <c r="W42" s="1"/>
      <c r="X42" s="1" t="s">
        <v>10</v>
      </c>
      <c r="Y42" s="1" t="s">
        <v>10</v>
      </c>
      <c r="Z42" s="1" t="s">
        <v>10</v>
      </c>
      <c r="AA42" s="1"/>
      <c r="AB42" s="1"/>
      <c r="AC42" s="1"/>
      <c r="AD42" s="1"/>
      <c r="AE42" s="1" t="s">
        <v>10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 t="s">
        <v>10</v>
      </c>
      <c r="BG42" s="1" t="s">
        <v>10</v>
      </c>
      <c r="BH42" s="1" t="s">
        <v>8</v>
      </c>
      <c r="BI42" s="1" t="s">
        <v>8</v>
      </c>
      <c r="BJ42" s="1"/>
      <c r="BK42" s="1"/>
      <c r="BL42" s="1"/>
      <c r="BM42" s="1" t="s">
        <v>10</v>
      </c>
      <c r="BN42" s="1"/>
      <c r="BO42" s="1"/>
      <c r="BP42" s="1" t="s">
        <v>10</v>
      </c>
      <c r="BQ42" s="1"/>
      <c r="BR42" s="1"/>
      <c r="BS42" s="1" t="s">
        <v>10</v>
      </c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 t="s">
        <v>8</v>
      </c>
      <c r="CK42" s="1" t="s">
        <v>8</v>
      </c>
      <c r="CL42" s="1" t="s">
        <v>173</v>
      </c>
      <c r="CM42" s="1"/>
      <c r="CN42" s="1"/>
      <c r="CO42" s="1"/>
      <c r="CP42" s="1"/>
      <c r="CQ42" s="1"/>
      <c r="CR42" s="1"/>
      <c r="CS42" s="1" t="s">
        <v>10</v>
      </c>
      <c r="CT42" s="1"/>
      <c r="CU42" s="1"/>
      <c r="CV42" s="1"/>
      <c r="CW42" s="1" t="s">
        <v>10</v>
      </c>
      <c r="CX42" s="1"/>
      <c r="CY42" s="1"/>
      <c r="CZ42" s="1"/>
      <c r="DA42" s="1"/>
      <c r="DB42" s="1"/>
      <c r="DC42" s="1"/>
      <c r="DD42" s="1"/>
      <c r="DE42" s="1"/>
      <c r="DF42" s="1"/>
      <c r="DG42" s="1" t="s">
        <v>10</v>
      </c>
      <c r="DH42" s="1"/>
      <c r="DI42" s="1" t="s">
        <v>8</v>
      </c>
      <c r="DJ42" s="1" t="s">
        <v>8</v>
      </c>
      <c r="DK42" s="1"/>
      <c r="DL42" s="1"/>
      <c r="DM42" s="1"/>
      <c r="DN42" s="1" t="s">
        <v>10</v>
      </c>
      <c r="DO42" s="1"/>
      <c r="DP42" s="1"/>
      <c r="DQ42" s="1"/>
      <c r="DR42" s="1"/>
      <c r="DS42" s="1"/>
      <c r="DT42" s="1"/>
      <c r="DU42" s="1" t="s">
        <v>173</v>
      </c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 t="s">
        <v>10</v>
      </c>
      <c r="EX42" s="1"/>
      <c r="EY42" s="1"/>
      <c r="EZ42" s="1"/>
      <c r="FA42" s="1"/>
      <c r="FB42" s="1" t="s">
        <v>10</v>
      </c>
      <c r="FC42" s="1"/>
      <c r="FD42" s="1"/>
      <c r="FE42" s="1"/>
      <c r="FF42" s="1"/>
      <c r="FG42" s="1"/>
      <c r="FH42" s="1"/>
      <c r="FI42" s="1" t="s">
        <v>10</v>
      </c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 t="s">
        <v>10</v>
      </c>
      <c r="FZ42" s="1"/>
      <c r="GA42" s="1"/>
      <c r="GB42" s="1"/>
      <c r="GC42" s="1"/>
      <c r="GD42" s="1"/>
      <c r="GE42" s="1" t="s">
        <v>10</v>
      </c>
      <c r="GF42" s="1" t="s">
        <v>10</v>
      </c>
      <c r="GG42" s="1"/>
      <c r="GH42" s="1" t="s">
        <v>10</v>
      </c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 t="s">
        <v>10</v>
      </c>
      <c r="GU42" s="1"/>
      <c r="GV42" s="1" t="s">
        <v>10</v>
      </c>
      <c r="GW42" s="1"/>
      <c r="GX42" s="1"/>
      <c r="GY42" s="1"/>
      <c r="GZ42" s="1" t="s">
        <v>10</v>
      </c>
      <c r="HA42" s="1"/>
      <c r="HB42" s="1"/>
      <c r="HC42" s="1" t="s">
        <v>10</v>
      </c>
      <c r="HD42" s="1" t="s">
        <v>10</v>
      </c>
      <c r="HE42" s="1"/>
      <c r="HF42" s="1" t="s">
        <v>10</v>
      </c>
      <c r="HG42" s="1" t="s">
        <v>10</v>
      </c>
      <c r="HH42" s="1" t="s">
        <v>8</v>
      </c>
      <c r="HI42" s="1"/>
      <c r="HJ42" s="1" t="s">
        <v>6</v>
      </c>
      <c r="HK42" s="1" t="s">
        <v>6</v>
      </c>
      <c r="HL42" s="1"/>
      <c r="HM42" s="1"/>
      <c r="HN42" s="1"/>
      <c r="HO42" s="1"/>
      <c r="HP42" s="1"/>
      <c r="HQ42" s="1"/>
      <c r="HR42" s="1"/>
      <c r="HS42" s="1"/>
      <c r="HT42" s="1" t="s">
        <v>10</v>
      </c>
      <c r="HU42" s="1"/>
      <c r="HV42" s="1" t="s">
        <v>10</v>
      </c>
      <c r="HW42" s="1"/>
      <c r="HX42" s="1"/>
      <c r="HY42" s="1"/>
      <c r="HZ42" s="1"/>
      <c r="IA42" s="1" t="s">
        <v>10</v>
      </c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 t="s">
        <v>6</v>
      </c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4" t="s">
        <v>13</v>
      </c>
    </row>
    <row r="43" spans="1:369" x14ac:dyDescent="0.25">
      <c r="A43" s="1">
        <v>39</v>
      </c>
      <c r="B43" s="3" t="s">
        <v>133</v>
      </c>
      <c r="C43" s="39" t="s">
        <v>77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10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 t="s">
        <v>8</v>
      </c>
      <c r="CK43" s="1" t="s">
        <v>8</v>
      </c>
      <c r="CL43" s="1" t="s">
        <v>173</v>
      </c>
      <c r="CM43" s="1"/>
      <c r="CN43" s="1"/>
      <c r="CO43" s="1"/>
      <c r="CP43" s="1"/>
      <c r="CQ43" s="1" t="s">
        <v>8</v>
      </c>
      <c r="CR43" s="1"/>
      <c r="CS43" s="1" t="s">
        <v>8</v>
      </c>
      <c r="CT43" s="1"/>
      <c r="CU43" s="1" t="s">
        <v>8</v>
      </c>
      <c r="CV43" s="1" t="s">
        <v>8</v>
      </c>
      <c r="CW43" s="1" t="s">
        <v>8</v>
      </c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 t="s">
        <v>10</v>
      </c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 t="s">
        <v>6</v>
      </c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 t="s">
        <v>10</v>
      </c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4" t="s">
        <v>13</v>
      </c>
    </row>
    <row r="44" spans="1:369" x14ac:dyDescent="0.25">
      <c r="A44" s="1">
        <v>40</v>
      </c>
      <c r="B44" s="3" t="s">
        <v>133</v>
      </c>
      <c r="C44" s="39" t="s">
        <v>78</v>
      </c>
      <c r="D44" s="1"/>
      <c r="E44" s="1"/>
      <c r="F44" s="1"/>
      <c r="G44" s="1"/>
      <c r="H44" s="1" t="s">
        <v>6</v>
      </c>
      <c r="I44" s="1" t="s">
        <v>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6</v>
      </c>
      <c r="AI44" s="1"/>
      <c r="AJ44" s="1" t="s">
        <v>6</v>
      </c>
      <c r="AK44" s="1" t="s">
        <v>6</v>
      </c>
      <c r="AL44" s="1" t="s">
        <v>6</v>
      </c>
      <c r="AM44" s="1" t="s">
        <v>6</v>
      </c>
      <c r="AN44" s="1" t="s">
        <v>6</v>
      </c>
      <c r="AO44" s="1" t="s">
        <v>6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 t="s">
        <v>8</v>
      </c>
      <c r="CK44" s="1" t="s">
        <v>8</v>
      </c>
      <c r="CL44" s="1" t="s">
        <v>173</v>
      </c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 t="s">
        <v>8</v>
      </c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 t="s">
        <v>6</v>
      </c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 t="s">
        <v>6</v>
      </c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4" t="s">
        <v>13</v>
      </c>
    </row>
    <row r="45" spans="1:369" x14ac:dyDescent="0.25">
      <c r="A45" s="1">
        <v>41</v>
      </c>
      <c r="B45" s="3" t="s">
        <v>133</v>
      </c>
      <c r="C45" s="39" t="s">
        <v>79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4" t="s">
        <v>13</v>
      </c>
    </row>
    <row r="46" spans="1:369" x14ac:dyDescent="0.25">
      <c r="A46" s="1">
        <v>42</v>
      </c>
      <c r="B46" s="3" t="s">
        <v>133</v>
      </c>
      <c r="C46" s="39" t="s">
        <v>80</v>
      </c>
      <c r="D46" s="1"/>
      <c r="E46" s="1"/>
      <c r="F46" s="1"/>
      <c r="G46" s="1"/>
      <c r="H46" s="1" t="s">
        <v>6</v>
      </c>
      <c r="I46" s="1"/>
      <c r="J46" s="1"/>
      <c r="K46" s="1"/>
      <c r="L46" s="1"/>
      <c r="M46" s="1"/>
      <c r="N46" s="1"/>
      <c r="O46" s="1" t="s">
        <v>10</v>
      </c>
      <c r="P46" s="1" t="s">
        <v>10</v>
      </c>
      <c r="Q46" s="1" t="s">
        <v>10</v>
      </c>
      <c r="R46" s="1" t="s">
        <v>10</v>
      </c>
      <c r="S46" s="1"/>
      <c r="T46" s="1"/>
      <c r="U46" s="1"/>
      <c r="V46" s="1"/>
      <c r="W46" s="1"/>
      <c r="X46" s="1" t="s">
        <v>10</v>
      </c>
      <c r="Y46" s="1"/>
      <c r="Z46" s="1"/>
      <c r="AA46" s="1"/>
      <c r="AB46" s="1"/>
      <c r="AC46" s="1"/>
      <c r="AD46" s="1"/>
      <c r="AE46" s="1"/>
      <c r="AF46" s="1" t="s">
        <v>10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 t="s">
        <v>8</v>
      </c>
      <c r="CK46" s="1" t="s">
        <v>8</v>
      </c>
      <c r="CL46" s="1" t="s">
        <v>8</v>
      </c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4" t="s">
        <v>13</v>
      </c>
    </row>
    <row r="47" spans="1:369" x14ac:dyDescent="0.25">
      <c r="A47" s="1">
        <v>43</v>
      </c>
      <c r="B47" s="3" t="s">
        <v>133</v>
      </c>
      <c r="C47" s="39" t="s">
        <v>232</v>
      </c>
      <c r="D47" s="1"/>
      <c r="E47" s="1"/>
      <c r="F47" s="1"/>
      <c r="G47" s="1"/>
      <c r="H47" s="1"/>
      <c r="I47" s="1"/>
      <c r="J47" s="1"/>
      <c r="K47" s="1" t="s">
        <v>10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 t="s">
        <v>10</v>
      </c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 t="s">
        <v>10</v>
      </c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 t="s">
        <v>6</v>
      </c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4"/>
    </row>
    <row r="48" spans="1:369" x14ac:dyDescent="0.25">
      <c r="A48" s="1">
        <v>44</v>
      </c>
      <c r="B48" s="3" t="s">
        <v>133</v>
      </c>
      <c r="C48" s="39" t="s">
        <v>193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 t="s">
        <v>10</v>
      </c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 t="s">
        <v>10</v>
      </c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 t="s">
        <v>6</v>
      </c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4"/>
    </row>
    <row r="49" spans="1:369" x14ac:dyDescent="0.25">
      <c r="A49" s="1">
        <v>45</v>
      </c>
      <c r="B49" s="28" t="s">
        <v>134</v>
      </c>
      <c r="C49" s="29" t="s">
        <v>81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 t="s">
        <v>8</v>
      </c>
      <c r="CK49" s="1" t="s">
        <v>8</v>
      </c>
      <c r="CL49" s="1" t="s">
        <v>8</v>
      </c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4" t="s">
        <v>13</v>
      </c>
    </row>
    <row r="50" spans="1:369" x14ac:dyDescent="0.25">
      <c r="A50" s="1">
        <v>46</v>
      </c>
      <c r="B50" s="28" t="s">
        <v>134</v>
      </c>
      <c r="C50" s="29" t="s">
        <v>82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 t="s">
        <v>10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 t="s">
        <v>10</v>
      </c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s">
        <v>8</v>
      </c>
      <c r="CC50" s="1"/>
      <c r="CD50" s="1"/>
      <c r="CE50" s="1"/>
      <c r="CF50" s="1"/>
      <c r="CG50" s="1"/>
      <c r="CH50" s="1"/>
      <c r="CI50" s="1"/>
      <c r="CJ50" s="1" t="s">
        <v>8</v>
      </c>
      <c r="CK50" s="1" t="s">
        <v>8</v>
      </c>
      <c r="CL50" s="1" t="s">
        <v>8</v>
      </c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4" t="s">
        <v>13</v>
      </c>
    </row>
    <row r="51" spans="1:369" x14ac:dyDescent="0.25">
      <c r="A51" s="1">
        <v>47</v>
      </c>
      <c r="B51" s="28" t="s">
        <v>134</v>
      </c>
      <c r="C51" s="29" t="s">
        <v>83</v>
      </c>
      <c r="D51" s="1"/>
      <c r="E51" s="1"/>
      <c r="F51" s="1"/>
      <c r="G51" s="1"/>
      <c r="H51" s="1"/>
      <c r="I51" s="1"/>
      <c r="J51" s="1"/>
      <c r="K51" s="1"/>
      <c r="L51" s="1"/>
      <c r="M51" s="1" t="s">
        <v>10</v>
      </c>
      <c r="N51" s="1"/>
      <c r="O51" s="1" t="s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 t="s">
        <v>8</v>
      </c>
      <c r="CK51" s="1" t="s">
        <v>8</v>
      </c>
      <c r="CL51" s="1" t="s">
        <v>8</v>
      </c>
      <c r="CM51" s="1"/>
      <c r="CN51" s="1"/>
      <c r="CO51" s="1"/>
      <c r="CP51" s="1"/>
      <c r="CQ51" s="1"/>
      <c r="CR51" s="1"/>
      <c r="CS51" s="1"/>
      <c r="CT51" s="1"/>
      <c r="CU51" s="1" t="s">
        <v>10</v>
      </c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 t="s">
        <v>10</v>
      </c>
      <c r="DL51" s="1"/>
      <c r="DM51" s="1"/>
      <c r="DN51" s="1"/>
      <c r="DO51" s="1"/>
      <c r="DP51" s="1"/>
      <c r="DQ51" s="1" t="s">
        <v>10</v>
      </c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 t="s">
        <v>10</v>
      </c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 t="s">
        <v>10</v>
      </c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 t="s">
        <v>10</v>
      </c>
      <c r="GK51" s="1"/>
      <c r="GL51" s="1" t="s">
        <v>10</v>
      </c>
      <c r="GM51" s="1"/>
      <c r="GN51" s="1"/>
      <c r="GO51" s="1"/>
      <c r="GP51" s="1"/>
      <c r="GQ51" s="1"/>
      <c r="GR51" s="1" t="s">
        <v>10</v>
      </c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 t="s">
        <v>8</v>
      </c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 t="s">
        <v>8</v>
      </c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4" t="s">
        <v>13</v>
      </c>
    </row>
    <row r="52" spans="1:369" x14ac:dyDescent="0.25">
      <c r="A52" s="1">
        <v>48</v>
      </c>
      <c r="B52" s="28" t="s">
        <v>134</v>
      </c>
      <c r="C52" s="29" t="s">
        <v>84</v>
      </c>
      <c r="D52" s="1"/>
      <c r="E52" s="1" t="s">
        <v>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 t="s">
        <v>8</v>
      </c>
      <c r="AU52" s="1" t="s">
        <v>8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 t="s">
        <v>8</v>
      </c>
      <c r="CK52" s="1" t="s">
        <v>8</v>
      </c>
      <c r="CL52" s="1" t="s">
        <v>8</v>
      </c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 t="s">
        <v>8</v>
      </c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 t="s">
        <v>10</v>
      </c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 t="s">
        <v>8</v>
      </c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 t="s">
        <v>8</v>
      </c>
      <c r="ID52" s="1"/>
      <c r="IE52" s="1" t="s">
        <v>8</v>
      </c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4" t="s">
        <v>13</v>
      </c>
    </row>
    <row r="53" spans="1:369" x14ac:dyDescent="0.25">
      <c r="A53" s="1">
        <v>49</v>
      </c>
      <c r="B53" s="28" t="s">
        <v>134</v>
      </c>
      <c r="C53" s="29" t="s">
        <v>85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 t="s">
        <v>8</v>
      </c>
      <c r="CK53" s="1" t="s">
        <v>8</v>
      </c>
      <c r="CL53" s="1" t="s">
        <v>8</v>
      </c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 t="s">
        <v>8</v>
      </c>
      <c r="FC53" s="1" t="s">
        <v>8</v>
      </c>
      <c r="FD53" s="1" t="s">
        <v>8</v>
      </c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 t="s">
        <v>8</v>
      </c>
      <c r="GF53" s="1" t="s">
        <v>8</v>
      </c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4" t="s">
        <v>13</v>
      </c>
    </row>
    <row r="54" spans="1:369" x14ac:dyDescent="0.25">
      <c r="A54" s="1">
        <v>50</v>
      </c>
      <c r="B54" s="28" t="s">
        <v>134</v>
      </c>
      <c r="C54" s="29" t="s">
        <v>86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 t="s">
        <v>10</v>
      </c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 t="s">
        <v>8</v>
      </c>
      <c r="CK54" s="1" t="s">
        <v>8</v>
      </c>
      <c r="CL54" s="1" t="s">
        <v>8</v>
      </c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 t="s">
        <v>6</v>
      </c>
      <c r="GS54" s="1" t="s">
        <v>6</v>
      </c>
      <c r="GT54" s="1" t="s">
        <v>6</v>
      </c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 t="s">
        <v>8</v>
      </c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 t="s">
        <v>8</v>
      </c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4" t="s">
        <v>13</v>
      </c>
    </row>
    <row r="55" spans="1:369" x14ac:dyDescent="0.25">
      <c r="A55" s="1">
        <v>51</v>
      </c>
      <c r="B55" s="28" t="s">
        <v>134</v>
      </c>
      <c r="C55" s="29" t="s">
        <v>87</v>
      </c>
      <c r="D55" s="1"/>
      <c r="E55" s="1" t="s">
        <v>8</v>
      </c>
      <c r="F55" s="1" t="s">
        <v>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8</v>
      </c>
      <c r="AA55" s="1" t="s">
        <v>8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 t="s">
        <v>8</v>
      </c>
      <c r="CK55" s="1" t="s">
        <v>8</v>
      </c>
      <c r="CL55" s="1" t="s">
        <v>8</v>
      </c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 t="s">
        <v>8</v>
      </c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 t="s">
        <v>8</v>
      </c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4" t="s">
        <v>13</v>
      </c>
    </row>
    <row r="56" spans="1:369" x14ac:dyDescent="0.25">
      <c r="A56" s="1">
        <v>52</v>
      </c>
      <c r="B56" s="28" t="s">
        <v>134</v>
      </c>
      <c r="C56" s="29" t="s">
        <v>88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 t="s">
        <v>8</v>
      </c>
      <c r="CK56" s="1" t="s">
        <v>8</v>
      </c>
      <c r="CL56" s="1" t="s">
        <v>8</v>
      </c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4" t="s">
        <v>13</v>
      </c>
    </row>
    <row r="57" spans="1:369" x14ac:dyDescent="0.25">
      <c r="A57" s="1">
        <v>53</v>
      </c>
      <c r="B57" s="28" t="s">
        <v>134</v>
      </c>
      <c r="C57" s="29" t="s">
        <v>89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 t="s">
        <v>10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 t="s">
        <v>10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 t="s">
        <v>10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 t="s">
        <v>8</v>
      </c>
      <c r="CK57" s="1" t="s">
        <v>8</v>
      </c>
      <c r="CL57" s="1" t="s">
        <v>173</v>
      </c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 t="s">
        <v>10</v>
      </c>
      <c r="DL57" s="1"/>
      <c r="DM57" s="1" t="s">
        <v>10</v>
      </c>
      <c r="DN57" s="1"/>
      <c r="DO57" s="1"/>
      <c r="DP57" s="1"/>
      <c r="DQ57" s="1"/>
      <c r="DR57" s="1"/>
      <c r="DS57" s="1"/>
      <c r="DT57" s="1"/>
      <c r="DU57" s="1" t="s">
        <v>10</v>
      </c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 t="s">
        <v>10</v>
      </c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 t="s">
        <v>10</v>
      </c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 t="s">
        <v>6</v>
      </c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4" t="s">
        <v>13</v>
      </c>
    </row>
    <row r="58" spans="1:369" x14ac:dyDescent="0.25">
      <c r="A58" s="1">
        <v>54</v>
      </c>
      <c r="B58" s="28" t="s">
        <v>134</v>
      </c>
      <c r="C58" s="29" t="s">
        <v>188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 t="s">
        <v>8</v>
      </c>
      <c r="GB58" s="1" t="s">
        <v>8</v>
      </c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 t="s">
        <v>8</v>
      </c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 t="s">
        <v>8</v>
      </c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 t="s">
        <v>6</v>
      </c>
      <c r="IR58" s="1"/>
      <c r="IS58" s="1" t="s">
        <v>8</v>
      </c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 t="s">
        <v>6</v>
      </c>
      <c r="JH58" s="1" t="s">
        <v>8</v>
      </c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4"/>
    </row>
    <row r="59" spans="1:369" x14ac:dyDescent="0.25">
      <c r="A59" s="1">
        <v>55</v>
      </c>
      <c r="B59" s="28" t="s">
        <v>134</v>
      </c>
      <c r="C59" s="29" t="s">
        <v>189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 t="s">
        <v>8</v>
      </c>
      <c r="FB59" s="1"/>
      <c r="FC59" s="1"/>
      <c r="FD59" s="1"/>
      <c r="FE59" s="1"/>
      <c r="FF59" s="1"/>
      <c r="FG59" s="1"/>
      <c r="FH59" s="1"/>
      <c r="FI59" s="1"/>
      <c r="FJ59" s="1" t="s">
        <v>8</v>
      </c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4"/>
    </row>
    <row r="60" spans="1:369" x14ac:dyDescent="0.25">
      <c r="A60" s="1">
        <v>56</v>
      </c>
      <c r="B60" s="28" t="s">
        <v>134</v>
      </c>
      <c r="C60" s="29" t="s">
        <v>190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 t="s">
        <v>8</v>
      </c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 t="s">
        <v>8</v>
      </c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4"/>
    </row>
    <row r="61" spans="1:369" x14ac:dyDescent="0.25">
      <c r="A61" s="1">
        <v>57</v>
      </c>
      <c r="B61" s="28" t="s">
        <v>134</v>
      </c>
      <c r="C61" s="29" t="s">
        <v>191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 t="s">
        <v>10</v>
      </c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 t="s">
        <v>8</v>
      </c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 t="s">
        <v>8</v>
      </c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 t="s">
        <v>8</v>
      </c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 t="s">
        <v>8</v>
      </c>
      <c r="IN61" s="1"/>
      <c r="IO61" s="1"/>
      <c r="IP61" s="1"/>
      <c r="IQ61" s="1"/>
      <c r="IR61" s="1"/>
      <c r="IS61" s="1"/>
      <c r="IT61" s="1"/>
      <c r="IU61" s="1"/>
      <c r="IV61" s="1"/>
      <c r="IW61" s="1" t="s">
        <v>8</v>
      </c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4"/>
    </row>
    <row r="62" spans="1:369" x14ac:dyDescent="0.25">
      <c r="A62" s="1">
        <v>58</v>
      </c>
      <c r="B62" s="28" t="s">
        <v>134</v>
      </c>
      <c r="C62" s="29" t="s">
        <v>192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 t="s">
        <v>8</v>
      </c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 t="s">
        <v>8</v>
      </c>
      <c r="GU62" s="1"/>
      <c r="GV62" s="1"/>
      <c r="GW62" s="1"/>
      <c r="GX62" s="1" t="s">
        <v>8</v>
      </c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 t="s">
        <v>8</v>
      </c>
      <c r="IM62" s="1"/>
      <c r="IN62" s="1"/>
      <c r="IO62" s="1"/>
      <c r="IP62" s="1"/>
      <c r="IQ62" s="1"/>
      <c r="IR62" s="1"/>
      <c r="IS62" s="1"/>
      <c r="IT62" s="1" t="s">
        <v>8</v>
      </c>
      <c r="IU62" s="1" t="s">
        <v>6</v>
      </c>
      <c r="IV62" s="1" t="s">
        <v>8</v>
      </c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4"/>
    </row>
    <row r="63" spans="1:369" x14ac:dyDescent="0.25">
      <c r="A63" s="1">
        <v>59</v>
      </c>
      <c r="B63" s="28" t="s">
        <v>230</v>
      </c>
      <c r="C63" s="39" t="s">
        <v>90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 t="s">
        <v>10</v>
      </c>
      <c r="AL63" s="1" t="s">
        <v>10</v>
      </c>
      <c r="AM63" s="1"/>
      <c r="AN63" s="1" t="s">
        <v>10</v>
      </c>
      <c r="AO63" s="1" t="s">
        <v>10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 t="s">
        <v>10</v>
      </c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4" t="s">
        <v>13</v>
      </c>
    </row>
    <row r="64" spans="1:369" x14ac:dyDescent="0.25">
      <c r="A64" s="1">
        <v>60</v>
      </c>
      <c r="B64" s="28" t="s">
        <v>230</v>
      </c>
      <c r="C64" s="30" t="s">
        <v>197</v>
      </c>
      <c r="D64" s="1"/>
      <c r="E64" s="1" t="s">
        <v>8</v>
      </c>
      <c r="F64" s="1"/>
      <c r="G64" s="1"/>
      <c r="H64" s="1"/>
      <c r="I64" s="1" t="s">
        <v>8</v>
      </c>
      <c r="J64" s="1"/>
      <c r="K64" s="1"/>
      <c r="L64" s="1"/>
      <c r="M64" s="1"/>
      <c r="N64" s="1"/>
      <c r="O64" s="1"/>
      <c r="P64" s="1"/>
      <c r="Q64" s="1"/>
      <c r="R64" s="1" t="s">
        <v>8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 t="s">
        <v>8</v>
      </c>
      <c r="AD64" s="1"/>
      <c r="AE64" s="1"/>
      <c r="AF64" s="1"/>
      <c r="AG64" s="1"/>
      <c r="AH64" s="1"/>
      <c r="AI64" s="1"/>
      <c r="AJ64" s="1"/>
      <c r="AK64" s="1"/>
      <c r="AL64" s="1" t="s">
        <v>8</v>
      </c>
      <c r="AM64" s="1"/>
      <c r="AN64" s="1"/>
      <c r="AO64" s="1"/>
      <c r="AP64" s="1"/>
      <c r="AQ64" s="1"/>
      <c r="AR64" s="1"/>
      <c r="AS64" s="1"/>
      <c r="AT64" s="1" t="s">
        <v>8</v>
      </c>
      <c r="AU64" s="1"/>
      <c r="AV64" s="1"/>
      <c r="AW64" s="1"/>
      <c r="AX64" s="1"/>
      <c r="AY64" s="1"/>
      <c r="AZ64" s="1" t="s">
        <v>8</v>
      </c>
      <c r="BA64" s="1"/>
      <c r="BB64" s="1"/>
      <c r="BC64" s="1"/>
      <c r="BD64" s="1"/>
      <c r="BE64" s="1" t="s">
        <v>8</v>
      </c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 t="s">
        <v>8</v>
      </c>
      <c r="CK64" s="1" t="s">
        <v>8</v>
      </c>
      <c r="CL64" s="1" t="s">
        <v>8</v>
      </c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 t="s">
        <v>8</v>
      </c>
      <c r="EN64" s="1"/>
      <c r="EO64" s="1"/>
      <c r="EP64" s="1"/>
      <c r="EQ64" s="1"/>
      <c r="ER64" s="1"/>
      <c r="ES64" s="1" t="s">
        <v>10</v>
      </c>
      <c r="ET64" s="1"/>
      <c r="EU64" s="1" t="s">
        <v>10</v>
      </c>
      <c r="EV64" s="1"/>
      <c r="EW64" s="1"/>
      <c r="EX64" s="1"/>
      <c r="EY64" s="1" t="s">
        <v>10</v>
      </c>
      <c r="EZ64" s="1"/>
      <c r="FA64" s="1" t="s">
        <v>10</v>
      </c>
      <c r="FB64" s="1" t="s">
        <v>10</v>
      </c>
      <c r="FC64" s="1"/>
      <c r="FD64" s="1"/>
      <c r="FE64" s="1"/>
      <c r="FF64" s="1"/>
      <c r="FG64" s="1"/>
      <c r="FH64" s="1" t="s">
        <v>10</v>
      </c>
      <c r="FI64" s="1"/>
      <c r="FJ64" s="1"/>
      <c r="FK64" s="1"/>
      <c r="FL64" s="1"/>
      <c r="FM64" s="1"/>
      <c r="FN64" s="1"/>
      <c r="FO64" s="1"/>
      <c r="FP64" s="1" t="s">
        <v>10</v>
      </c>
      <c r="FQ64" s="1"/>
      <c r="FR64" s="1"/>
      <c r="FS64" s="1"/>
      <c r="FT64" s="1" t="s">
        <v>10</v>
      </c>
      <c r="FU64" s="1"/>
      <c r="FV64" s="1" t="s">
        <v>10</v>
      </c>
      <c r="FW64" s="1" t="s">
        <v>10</v>
      </c>
      <c r="FX64" s="1"/>
      <c r="FY64" s="1" t="s">
        <v>10</v>
      </c>
      <c r="FZ64" s="1"/>
      <c r="GA64" s="1"/>
      <c r="GB64" s="1" t="s">
        <v>10</v>
      </c>
      <c r="GC64" s="1" t="s">
        <v>10</v>
      </c>
      <c r="GD64" s="1" t="s">
        <v>10</v>
      </c>
      <c r="GE64" s="1" t="s">
        <v>10</v>
      </c>
      <c r="GF64" s="1" t="s">
        <v>10</v>
      </c>
      <c r="GG64" s="1" t="s">
        <v>8</v>
      </c>
      <c r="GH64" s="1" t="s">
        <v>10</v>
      </c>
      <c r="GI64" s="1"/>
      <c r="GJ64" s="1" t="s">
        <v>10</v>
      </c>
      <c r="GK64" s="1" t="s">
        <v>8</v>
      </c>
      <c r="GL64" s="1" t="s">
        <v>10</v>
      </c>
      <c r="GM64" s="1"/>
      <c r="GN64" s="1"/>
      <c r="GO64" s="1"/>
      <c r="GP64" s="1"/>
      <c r="GQ64" s="1" t="s">
        <v>10</v>
      </c>
      <c r="GR64" s="1" t="s">
        <v>8</v>
      </c>
      <c r="GS64" s="1" t="s">
        <v>8</v>
      </c>
      <c r="GT64" s="1"/>
      <c r="GU64" s="1"/>
      <c r="GV64" s="1" t="s">
        <v>10</v>
      </c>
      <c r="GW64" s="1" t="s">
        <v>10</v>
      </c>
      <c r="GX64" s="1" t="s">
        <v>10</v>
      </c>
      <c r="GY64" s="1" t="s">
        <v>10</v>
      </c>
      <c r="GZ64" s="1" t="s">
        <v>8</v>
      </c>
      <c r="HA64" s="1" t="s">
        <v>10</v>
      </c>
      <c r="HB64" s="1"/>
      <c r="HC64" s="1" t="s">
        <v>10</v>
      </c>
      <c r="HD64" s="1"/>
      <c r="HE64" s="1" t="s">
        <v>10</v>
      </c>
      <c r="HF64" s="1" t="s">
        <v>10</v>
      </c>
      <c r="HG64" s="1" t="s">
        <v>10</v>
      </c>
      <c r="HH64" s="1" t="s">
        <v>10</v>
      </c>
      <c r="HI64" s="1"/>
      <c r="HJ64" s="1" t="s">
        <v>10</v>
      </c>
      <c r="HK64" s="1" t="s">
        <v>10</v>
      </c>
      <c r="HL64" s="1" t="s">
        <v>10</v>
      </c>
      <c r="HM64" s="1" t="s">
        <v>10</v>
      </c>
      <c r="HN64" s="1" t="s">
        <v>10</v>
      </c>
      <c r="HO64" s="1" t="s">
        <v>10</v>
      </c>
      <c r="HP64" s="1"/>
      <c r="HQ64" s="1" t="s">
        <v>10</v>
      </c>
      <c r="HR64" s="1"/>
      <c r="HS64" s="1" t="s">
        <v>10</v>
      </c>
      <c r="HT64" s="1" t="s">
        <v>10</v>
      </c>
      <c r="HU64" s="1" t="s">
        <v>10</v>
      </c>
      <c r="HV64" s="1" t="s">
        <v>10</v>
      </c>
      <c r="HW64" s="1"/>
      <c r="HX64" s="1"/>
      <c r="HY64" s="1" t="s">
        <v>10</v>
      </c>
      <c r="HZ64" s="1"/>
      <c r="IA64" s="1"/>
      <c r="IB64" s="1" t="s">
        <v>10</v>
      </c>
      <c r="IC64" s="1" t="s">
        <v>10</v>
      </c>
      <c r="ID64" s="1"/>
      <c r="IE64" s="1" t="s">
        <v>10</v>
      </c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4" t="s">
        <v>13</v>
      </c>
    </row>
    <row r="65" spans="1:369" x14ac:dyDescent="0.25">
      <c r="A65" s="1">
        <v>61</v>
      </c>
      <c r="B65" s="28" t="s">
        <v>230</v>
      </c>
      <c r="C65" s="30" t="s">
        <v>91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 t="s">
        <v>8</v>
      </c>
      <c r="CK65" s="1" t="s">
        <v>8</v>
      </c>
      <c r="CL65" s="1" t="s">
        <v>8</v>
      </c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4" t="s">
        <v>13</v>
      </c>
    </row>
    <row r="66" spans="1:369" x14ac:dyDescent="0.25">
      <c r="A66" s="1">
        <v>62</v>
      </c>
      <c r="B66" s="28" t="s">
        <v>230</v>
      </c>
      <c r="C66" s="30" t="s">
        <v>92</v>
      </c>
      <c r="D66" s="1"/>
      <c r="E66" s="1"/>
      <c r="F66" s="1"/>
      <c r="G66" s="1"/>
      <c r="H66" s="1"/>
      <c r="I66" s="1" t="s">
        <v>10</v>
      </c>
      <c r="J66" s="1"/>
      <c r="K66" s="1" t="s">
        <v>10</v>
      </c>
      <c r="L66" s="1" t="s">
        <v>10</v>
      </c>
      <c r="M66" s="1"/>
      <c r="N66" s="1"/>
      <c r="O66" s="1" t="s">
        <v>10</v>
      </c>
      <c r="P66" s="1" t="s">
        <v>10</v>
      </c>
      <c r="Q66" s="1" t="s">
        <v>10</v>
      </c>
      <c r="R66" s="1" t="s">
        <v>10</v>
      </c>
      <c r="S66" s="1"/>
      <c r="T66" s="1" t="s">
        <v>10</v>
      </c>
      <c r="U66" s="1"/>
      <c r="V66" s="1"/>
      <c r="W66" s="1" t="s">
        <v>10</v>
      </c>
      <c r="X66" s="1" t="s">
        <v>10</v>
      </c>
      <c r="Y66" s="1" t="s">
        <v>10</v>
      </c>
      <c r="Z66" s="1"/>
      <c r="AA66" s="1"/>
      <c r="AB66" s="1"/>
      <c r="AC66" s="1" t="s">
        <v>10</v>
      </c>
      <c r="AD66" s="1"/>
      <c r="AE66" s="1"/>
      <c r="AF66" s="1" t="s">
        <v>10</v>
      </c>
      <c r="AG66" s="1" t="s">
        <v>10</v>
      </c>
      <c r="AH66" s="1" t="s">
        <v>10</v>
      </c>
      <c r="AI66" s="1"/>
      <c r="AJ66" s="1" t="s">
        <v>10</v>
      </c>
      <c r="AK66" s="1" t="s">
        <v>10</v>
      </c>
      <c r="AL66" s="1"/>
      <c r="AM66" s="1"/>
      <c r="AN66" s="1" t="s">
        <v>10</v>
      </c>
      <c r="AO66" s="1"/>
      <c r="AP66" s="1"/>
      <c r="AQ66" s="1" t="s">
        <v>10</v>
      </c>
      <c r="AR66" s="1"/>
      <c r="AS66" s="1"/>
      <c r="AT66" s="1"/>
      <c r="AU66" s="1"/>
      <c r="AV66" s="1"/>
      <c r="AW66" s="1"/>
      <c r="AX66" s="1"/>
      <c r="AY66" s="1"/>
      <c r="AZ66" s="1"/>
      <c r="BA66" s="1" t="s">
        <v>10</v>
      </c>
      <c r="BB66" s="1" t="s">
        <v>10</v>
      </c>
      <c r="BC66" s="1" t="s">
        <v>8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 t="s">
        <v>8</v>
      </c>
      <c r="CK66" s="1" t="s">
        <v>8</v>
      </c>
      <c r="CL66" s="1" t="s">
        <v>8</v>
      </c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 t="s">
        <v>10</v>
      </c>
      <c r="DR66" s="1"/>
      <c r="DS66" s="1" t="s">
        <v>10</v>
      </c>
      <c r="DT66" s="1" t="s">
        <v>10</v>
      </c>
      <c r="DU66" s="1" t="s">
        <v>10</v>
      </c>
      <c r="DV66" s="1"/>
      <c r="DW66" s="1"/>
      <c r="DX66" s="1" t="s">
        <v>10</v>
      </c>
      <c r="DY66" s="1"/>
      <c r="DZ66" s="1" t="s">
        <v>10</v>
      </c>
      <c r="EA66" s="1" t="s">
        <v>10</v>
      </c>
      <c r="EB66" s="1"/>
      <c r="EC66" s="1"/>
      <c r="ED66" s="1"/>
      <c r="EE66" s="1"/>
      <c r="EF66" s="1"/>
      <c r="EG66" s="1"/>
      <c r="EH66" s="1"/>
      <c r="EI66" s="1" t="s">
        <v>10</v>
      </c>
      <c r="EJ66" s="1"/>
      <c r="EK66" s="1" t="s">
        <v>10</v>
      </c>
      <c r="EL66" s="1"/>
      <c r="EM66" s="1"/>
      <c r="EN66" s="1" t="s">
        <v>10</v>
      </c>
      <c r="EO66" s="1"/>
      <c r="EP66" s="1" t="s">
        <v>10</v>
      </c>
      <c r="EQ66" s="1"/>
      <c r="ER66" s="1"/>
      <c r="ES66" s="1" t="s">
        <v>10</v>
      </c>
      <c r="ET66" s="1"/>
      <c r="EU66" s="1"/>
      <c r="EV66" s="1"/>
      <c r="EW66" s="1" t="s">
        <v>10</v>
      </c>
      <c r="EX66" s="1"/>
      <c r="EY66" s="1" t="s">
        <v>10</v>
      </c>
      <c r="EZ66" s="1" t="s">
        <v>10</v>
      </c>
      <c r="FA66" s="1" t="s">
        <v>10</v>
      </c>
      <c r="FB66" s="1"/>
      <c r="FC66" s="1" t="s">
        <v>10</v>
      </c>
      <c r="FD66" s="1" t="s">
        <v>10</v>
      </c>
      <c r="FE66" s="1"/>
      <c r="FF66" s="1"/>
      <c r="FG66" s="1"/>
      <c r="FH66" s="1"/>
      <c r="FI66" s="1" t="s">
        <v>10</v>
      </c>
      <c r="FJ66" s="1" t="s">
        <v>10</v>
      </c>
      <c r="FK66" s="1" t="s">
        <v>10</v>
      </c>
      <c r="FL66" s="1"/>
      <c r="FM66" s="1" t="s">
        <v>10</v>
      </c>
      <c r="FN66" s="1"/>
      <c r="FO66" s="1" t="s">
        <v>10</v>
      </c>
      <c r="FP66" s="1"/>
      <c r="FQ66" s="1"/>
      <c r="FR66" s="1"/>
      <c r="FS66" s="1"/>
      <c r="FT66" s="1" t="s">
        <v>10</v>
      </c>
      <c r="FU66" s="1"/>
      <c r="FV66" s="1"/>
      <c r="FW66" s="1"/>
      <c r="FX66" s="1"/>
      <c r="FY66" s="1"/>
      <c r="FZ66" s="1"/>
      <c r="GA66" s="1"/>
      <c r="GB66" s="1"/>
      <c r="GC66" s="1" t="s">
        <v>8</v>
      </c>
      <c r="GD66" s="1" t="s">
        <v>8</v>
      </c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 t="s">
        <v>6</v>
      </c>
      <c r="HM66" s="1" t="s">
        <v>6</v>
      </c>
      <c r="HN66" s="1" t="s">
        <v>6</v>
      </c>
      <c r="HO66" s="1" t="s">
        <v>6</v>
      </c>
      <c r="HP66" s="1"/>
      <c r="HQ66" s="1" t="s">
        <v>6</v>
      </c>
      <c r="HR66" s="1"/>
      <c r="HS66" s="1"/>
      <c r="HT66" s="1" t="s">
        <v>10</v>
      </c>
      <c r="HU66" s="1"/>
      <c r="HV66" s="1" t="s">
        <v>173</v>
      </c>
      <c r="HW66" s="1"/>
      <c r="HX66" s="1"/>
      <c r="HY66" s="1"/>
      <c r="HZ66" s="1"/>
      <c r="IA66" s="1"/>
      <c r="IB66" s="1"/>
      <c r="IC66" s="1"/>
      <c r="ID66" s="1"/>
      <c r="IE66" s="1" t="s">
        <v>10</v>
      </c>
      <c r="IF66" s="1"/>
      <c r="IG66" s="1"/>
      <c r="IH66" s="1"/>
      <c r="II66" s="1"/>
      <c r="IJ66" s="1" t="s">
        <v>8</v>
      </c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 t="s">
        <v>8</v>
      </c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4" t="s">
        <v>13</v>
      </c>
    </row>
    <row r="67" spans="1:369" x14ac:dyDescent="0.25">
      <c r="A67" s="1">
        <v>63</v>
      </c>
      <c r="B67" s="28" t="s">
        <v>230</v>
      </c>
      <c r="C67" s="30" t="s">
        <v>93</v>
      </c>
      <c r="D67" s="1"/>
      <c r="E67" s="1" t="s">
        <v>8</v>
      </c>
      <c r="F67" s="1" t="s">
        <v>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 t="s">
        <v>8</v>
      </c>
      <c r="CK67" s="1" t="s">
        <v>8</v>
      </c>
      <c r="CL67" s="1" t="s">
        <v>8</v>
      </c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 t="s">
        <v>10</v>
      </c>
      <c r="ET67" s="1"/>
      <c r="EU67" s="1" t="s">
        <v>10</v>
      </c>
      <c r="EV67" s="1"/>
      <c r="EW67" s="1" t="s">
        <v>10</v>
      </c>
      <c r="EX67" s="1"/>
      <c r="EY67" s="1"/>
      <c r="EZ67" s="1" t="s">
        <v>10</v>
      </c>
      <c r="FA67" s="1" t="s">
        <v>10</v>
      </c>
      <c r="FB67" s="1"/>
      <c r="FC67" s="1" t="s">
        <v>10</v>
      </c>
      <c r="FD67" s="1" t="s">
        <v>10</v>
      </c>
      <c r="FE67" s="1"/>
      <c r="FF67" s="1"/>
      <c r="FG67" s="1"/>
      <c r="FH67" s="1" t="s">
        <v>10</v>
      </c>
      <c r="FI67" s="1" t="s">
        <v>10</v>
      </c>
      <c r="FJ67" s="1" t="s">
        <v>10</v>
      </c>
      <c r="FK67" s="1"/>
      <c r="FL67" s="1"/>
      <c r="FM67" s="1" t="s">
        <v>8</v>
      </c>
      <c r="FN67" s="1" t="s">
        <v>8</v>
      </c>
      <c r="FO67" s="1" t="s">
        <v>8</v>
      </c>
      <c r="FP67" s="1" t="s">
        <v>8</v>
      </c>
      <c r="FQ67" s="1" t="s">
        <v>8</v>
      </c>
      <c r="FR67" s="1" t="s">
        <v>8</v>
      </c>
      <c r="FS67" s="1"/>
      <c r="FT67" s="1" t="s">
        <v>8</v>
      </c>
      <c r="FU67" s="1" t="s">
        <v>8</v>
      </c>
      <c r="FV67" s="1" t="s">
        <v>8</v>
      </c>
      <c r="FW67" s="1" t="s">
        <v>8</v>
      </c>
      <c r="FX67" s="1"/>
      <c r="FY67" s="1"/>
      <c r="FZ67" s="1" t="s">
        <v>10</v>
      </c>
      <c r="GA67" s="1"/>
      <c r="GB67" s="1"/>
      <c r="GC67" s="1" t="s">
        <v>10</v>
      </c>
      <c r="GD67" s="1"/>
      <c r="GE67" s="1"/>
      <c r="GF67" s="1"/>
      <c r="GG67" s="1" t="s">
        <v>10</v>
      </c>
      <c r="GH67" s="1" t="s">
        <v>10</v>
      </c>
      <c r="GI67" s="1"/>
      <c r="GJ67" s="1"/>
      <c r="GK67" s="1"/>
      <c r="GL67" s="1"/>
      <c r="GM67" s="1"/>
      <c r="GN67" s="1" t="s">
        <v>10</v>
      </c>
      <c r="GO67" s="1" t="s">
        <v>10</v>
      </c>
      <c r="GP67" s="1"/>
      <c r="GQ67" s="1"/>
      <c r="GR67" s="1"/>
      <c r="GS67" s="1"/>
      <c r="GT67" s="1" t="s">
        <v>10</v>
      </c>
      <c r="GU67" s="1" t="s">
        <v>10</v>
      </c>
      <c r="GV67" s="1"/>
      <c r="GW67" s="1"/>
      <c r="GX67" s="1" t="s">
        <v>10</v>
      </c>
      <c r="GY67" s="1"/>
      <c r="GZ67" s="1"/>
      <c r="HA67" s="1"/>
      <c r="HB67" s="1" t="s">
        <v>10</v>
      </c>
      <c r="HC67" s="1"/>
      <c r="HD67" s="1"/>
      <c r="HE67" s="1"/>
      <c r="HF67" s="1"/>
      <c r="HG67" s="1"/>
      <c r="HH67" s="1" t="s">
        <v>8</v>
      </c>
      <c r="HI67" s="1"/>
      <c r="HJ67" s="1" t="s">
        <v>8</v>
      </c>
      <c r="HK67" s="1"/>
      <c r="HL67" s="1" t="s">
        <v>10</v>
      </c>
      <c r="HM67" s="1" t="s">
        <v>10</v>
      </c>
      <c r="HN67" s="1" t="s">
        <v>10</v>
      </c>
      <c r="HO67" s="1" t="s">
        <v>10</v>
      </c>
      <c r="HP67" s="1"/>
      <c r="HQ67" s="1" t="s">
        <v>10</v>
      </c>
      <c r="HR67" s="1" t="s">
        <v>10</v>
      </c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4" t="s">
        <v>13</v>
      </c>
    </row>
    <row r="68" spans="1:369" x14ac:dyDescent="0.25">
      <c r="A68" s="1">
        <v>64</v>
      </c>
      <c r="B68" s="28" t="s">
        <v>230</v>
      </c>
      <c r="C68" s="30" t="s">
        <v>94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 t="s">
        <v>8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 t="s">
        <v>8</v>
      </c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 t="s">
        <v>8</v>
      </c>
      <c r="CK68" s="1" t="s">
        <v>8</v>
      </c>
      <c r="CL68" s="1" t="s">
        <v>8</v>
      </c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 t="s">
        <v>8</v>
      </c>
      <c r="DD68" s="1"/>
      <c r="DE68" s="1"/>
      <c r="DF68" s="1"/>
      <c r="DG68" s="1"/>
      <c r="DH68" s="1"/>
      <c r="DI68" s="1"/>
      <c r="DJ68" s="1"/>
      <c r="DK68" s="1"/>
      <c r="DL68" s="1" t="s">
        <v>8</v>
      </c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 t="s">
        <v>8</v>
      </c>
      <c r="DZ68" s="1"/>
      <c r="EA68" s="1"/>
      <c r="EB68" s="1" t="s">
        <v>8</v>
      </c>
      <c r="EC68" s="1"/>
      <c r="ED68" s="1" t="s">
        <v>8</v>
      </c>
      <c r="EE68" s="1"/>
      <c r="EF68" s="1" t="s">
        <v>8</v>
      </c>
      <c r="EG68" s="1"/>
      <c r="EH68" s="1"/>
      <c r="EI68" s="1"/>
      <c r="EJ68" s="1"/>
      <c r="EK68" s="1"/>
      <c r="EL68" s="1"/>
      <c r="EM68" s="1" t="s">
        <v>8</v>
      </c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 t="s">
        <v>10</v>
      </c>
      <c r="FI68" s="1"/>
      <c r="FJ68" s="1"/>
      <c r="FK68" s="1"/>
      <c r="FL68" s="1" t="s">
        <v>10</v>
      </c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 t="s">
        <v>6</v>
      </c>
      <c r="GX68" s="1"/>
      <c r="GY68" s="1" t="s">
        <v>6</v>
      </c>
      <c r="GZ68" s="1"/>
      <c r="HA68" s="1"/>
      <c r="HB68" s="1"/>
      <c r="HC68" s="1"/>
      <c r="HD68" s="1"/>
      <c r="HE68" s="1"/>
      <c r="HF68" s="1" t="s">
        <v>8</v>
      </c>
      <c r="HG68" s="1"/>
      <c r="HH68" s="1"/>
      <c r="HI68" s="1"/>
      <c r="HJ68" s="1" t="s">
        <v>10</v>
      </c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 t="s">
        <v>8</v>
      </c>
      <c r="IB68" s="1"/>
      <c r="IC68" s="1"/>
      <c r="ID68" s="1"/>
      <c r="IE68" s="1"/>
      <c r="IF68" s="1"/>
      <c r="IG68" s="1"/>
      <c r="IH68" s="1" t="s">
        <v>6</v>
      </c>
      <c r="II68" s="1"/>
      <c r="IJ68" s="1"/>
      <c r="IK68" s="1"/>
      <c r="IL68" s="1"/>
      <c r="IM68" s="1"/>
      <c r="IN68" s="1"/>
      <c r="IO68" s="1" t="s">
        <v>6</v>
      </c>
      <c r="IP68" s="1"/>
      <c r="IQ68" s="1"/>
      <c r="IR68" s="1"/>
      <c r="IS68" s="1" t="s">
        <v>6</v>
      </c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 t="s">
        <v>6</v>
      </c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4" t="s">
        <v>13</v>
      </c>
    </row>
    <row r="69" spans="1:369" x14ac:dyDescent="0.25">
      <c r="A69" s="1">
        <v>65</v>
      </c>
      <c r="B69" s="28" t="s">
        <v>230</v>
      </c>
      <c r="C69" s="30" t="s">
        <v>178</v>
      </c>
      <c r="D69" s="1"/>
      <c r="E69" s="1"/>
      <c r="F69" s="1"/>
      <c r="G69" s="1"/>
      <c r="H69" s="1"/>
      <c r="I69" s="1" t="s">
        <v>10</v>
      </c>
      <c r="J69" s="1" t="s">
        <v>10</v>
      </c>
      <c r="K69" s="1" t="s">
        <v>10</v>
      </c>
      <c r="L69" s="1" t="s">
        <v>10</v>
      </c>
      <c r="M69" s="1" t="s">
        <v>10</v>
      </c>
      <c r="N69" s="1"/>
      <c r="O69" s="1" t="s">
        <v>10</v>
      </c>
      <c r="P69" s="1" t="s">
        <v>10</v>
      </c>
      <c r="Q69" s="1" t="s">
        <v>10</v>
      </c>
      <c r="R69" s="1" t="s">
        <v>10</v>
      </c>
      <c r="S69" s="1"/>
      <c r="T69" s="1"/>
      <c r="U69" s="1"/>
      <c r="V69" s="1"/>
      <c r="W69" s="1" t="s">
        <v>10</v>
      </c>
      <c r="X69" s="1" t="s">
        <v>10</v>
      </c>
      <c r="Y69" s="1" t="s">
        <v>10</v>
      </c>
      <c r="Z69" s="1" t="s">
        <v>10</v>
      </c>
      <c r="AA69" s="1" t="s">
        <v>10</v>
      </c>
      <c r="AB69" s="1"/>
      <c r="AC69" s="1" t="s">
        <v>10</v>
      </c>
      <c r="AD69" s="1" t="s">
        <v>10</v>
      </c>
      <c r="AE69" s="1"/>
      <c r="AF69" s="1" t="s">
        <v>10</v>
      </c>
      <c r="AG69" s="1" t="s">
        <v>10</v>
      </c>
      <c r="AH69" s="1" t="s">
        <v>10</v>
      </c>
      <c r="AI69" s="1"/>
      <c r="AJ69" s="1"/>
      <c r="AK69" s="1" t="s">
        <v>10</v>
      </c>
      <c r="AL69" s="1" t="s">
        <v>10</v>
      </c>
      <c r="AM69" s="1" t="s">
        <v>10</v>
      </c>
      <c r="AN69" s="1" t="s">
        <v>10</v>
      </c>
      <c r="AO69" s="1" t="s">
        <v>10</v>
      </c>
      <c r="AP69" s="1"/>
      <c r="AQ69" s="1" t="s">
        <v>10</v>
      </c>
      <c r="AR69" s="1"/>
      <c r="AS69" s="1"/>
      <c r="AT69" s="1" t="s">
        <v>10</v>
      </c>
      <c r="AU69" s="1"/>
      <c r="AV69" s="1"/>
      <c r="AW69" s="1"/>
      <c r="AX69" s="1"/>
      <c r="AY69" s="1"/>
      <c r="AZ69" s="1"/>
      <c r="BA69" s="1" t="s">
        <v>10</v>
      </c>
      <c r="BB69" s="1"/>
      <c r="BC69" s="1" t="s">
        <v>8</v>
      </c>
      <c r="BD69" s="1"/>
      <c r="BE69" s="1"/>
      <c r="BF69" s="1" t="s">
        <v>8</v>
      </c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 t="s">
        <v>8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 t="s">
        <v>8</v>
      </c>
      <c r="CK69" s="1" t="s">
        <v>8</v>
      </c>
      <c r="CL69" s="1" t="s">
        <v>8</v>
      </c>
      <c r="CM69" s="1"/>
      <c r="CN69" s="1"/>
      <c r="CO69" s="1"/>
      <c r="CP69" s="1"/>
      <c r="CQ69" s="1"/>
      <c r="CR69" s="1"/>
      <c r="CS69" s="1" t="s">
        <v>8</v>
      </c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 t="s">
        <v>10</v>
      </c>
      <c r="DQ69" s="1"/>
      <c r="DR69" s="1"/>
      <c r="DS69" s="1" t="s">
        <v>10</v>
      </c>
      <c r="DT69" s="1" t="s">
        <v>10</v>
      </c>
      <c r="DU69" s="1" t="s">
        <v>8</v>
      </c>
      <c r="DV69" s="1"/>
      <c r="DW69" s="1" t="s">
        <v>10</v>
      </c>
      <c r="DX69" s="1" t="s">
        <v>10</v>
      </c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 t="s">
        <v>10</v>
      </c>
      <c r="EJ69" s="1"/>
      <c r="EK69" s="1"/>
      <c r="EL69" s="1" t="s">
        <v>10</v>
      </c>
      <c r="EM69" s="1" t="s">
        <v>10</v>
      </c>
      <c r="EN69" s="1" t="s">
        <v>10</v>
      </c>
      <c r="EO69" s="1" t="s">
        <v>10</v>
      </c>
      <c r="EP69" s="1"/>
      <c r="EQ69" s="1"/>
      <c r="ER69" s="1"/>
      <c r="ES69" s="1" t="s">
        <v>10</v>
      </c>
      <c r="ET69" s="1"/>
      <c r="EU69" s="1" t="s">
        <v>10</v>
      </c>
      <c r="EV69" s="1" t="s">
        <v>10</v>
      </c>
      <c r="EW69" s="1" t="s">
        <v>10</v>
      </c>
      <c r="EX69" s="1" t="s">
        <v>10</v>
      </c>
      <c r="EY69" s="1" t="s">
        <v>10</v>
      </c>
      <c r="EZ69" s="1"/>
      <c r="FA69" s="1" t="s">
        <v>10</v>
      </c>
      <c r="FB69" s="1"/>
      <c r="FC69" s="1" t="s">
        <v>10</v>
      </c>
      <c r="FD69" s="1" t="s">
        <v>10</v>
      </c>
      <c r="FE69" s="1"/>
      <c r="FF69" s="1"/>
      <c r="FG69" s="1" t="s">
        <v>10</v>
      </c>
      <c r="FH69" s="1"/>
      <c r="FI69" s="1" t="s">
        <v>10</v>
      </c>
      <c r="FJ69" s="1" t="s">
        <v>10</v>
      </c>
      <c r="FK69" s="1" t="s">
        <v>10</v>
      </c>
      <c r="FL69" s="1"/>
      <c r="FM69" s="1"/>
      <c r="FN69" s="1"/>
      <c r="FO69" s="1"/>
      <c r="FP69" s="1"/>
      <c r="FQ69" s="1" t="s">
        <v>10</v>
      </c>
      <c r="FR69" s="1"/>
      <c r="FS69" s="1"/>
      <c r="FT69" s="1"/>
      <c r="FU69" s="1" t="s">
        <v>10</v>
      </c>
      <c r="FV69" s="1" t="s">
        <v>10</v>
      </c>
      <c r="FW69" s="1"/>
      <c r="FX69" s="1"/>
      <c r="FY69" s="1" t="s">
        <v>10</v>
      </c>
      <c r="FZ69" s="1"/>
      <c r="GA69" s="1"/>
      <c r="GB69" s="1"/>
      <c r="GC69" s="1"/>
      <c r="GD69" s="1"/>
      <c r="GE69" s="1" t="s">
        <v>10</v>
      </c>
      <c r="GF69" s="1" t="s">
        <v>10</v>
      </c>
      <c r="GG69" s="1"/>
      <c r="GH69" s="1"/>
      <c r="GI69" s="1"/>
      <c r="GJ69" s="1" t="s">
        <v>10</v>
      </c>
      <c r="GK69" s="1"/>
      <c r="GL69" s="1"/>
      <c r="GM69" s="1" t="s">
        <v>10</v>
      </c>
      <c r="GN69" s="1"/>
      <c r="GO69" s="1"/>
      <c r="GP69" s="1"/>
      <c r="GQ69" s="1" t="s">
        <v>10</v>
      </c>
      <c r="GR69" s="1"/>
      <c r="GS69" s="1"/>
      <c r="GT69" s="1"/>
      <c r="GU69" s="1"/>
      <c r="GV69" s="1" t="s">
        <v>10</v>
      </c>
      <c r="GW69" s="1" t="s">
        <v>10</v>
      </c>
      <c r="GX69" s="1"/>
      <c r="GY69" s="1"/>
      <c r="GZ69" s="1"/>
      <c r="HA69" s="1"/>
      <c r="HB69" s="1"/>
      <c r="HC69" s="1"/>
      <c r="HD69" s="1"/>
      <c r="HE69" s="1" t="s">
        <v>10</v>
      </c>
      <c r="HF69" s="1"/>
      <c r="HG69" s="1"/>
      <c r="HH69" s="1" t="s">
        <v>10</v>
      </c>
      <c r="HI69" s="1" t="s">
        <v>10</v>
      </c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4" t="s">
        <v>13</v>
      </c>
    </row>
    <row r="70" spans="1:369" x14ac:dyDescent="0.25">
      <c r="A70" s="1">
        <v>66</v>
      </c>
      <c r="B70" s="28" t="s">
        <v>230</v>
      </c>
      <c r="C70" s="30" t="s">
        <v>95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4" t="s">
        <v>13</v>
      </c>
    </row>
    <row r="71" spans="1:369" x14ac:dyDescent="0.25">
      <c r="A71" s="1">
        <v>67</v>
      </c>
      <c r="B71" s="28" t="s">
        <v>230</v>
      </c>
      <c r="C71" s="30" t="s">
        <v>96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 t="s">
        <v>8</v>
      </c>
      <c r="CK71" s="1" t="s">
        <v>8</v>
      </c>
      <c r="CL71" s="1" t="s">
        <v>8</v>
      </c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 t="s">
        <v>10</v>
      </c>
      <c r="FD71" s="1"/>
      <c r="FE71" s="1"/>
      <c r="FF71" s="1"/>
      <c r="FG71" s="1"/>
      <c r="FH71" s="1" t="s">
        <v>8</v>
      </c>
      <c r="FI71" s="1" t="s">
        <v>8</v>
      </c>
      <c r="FJ71" s="1" t="s">
        <v>8</v>
      </c>
      <c r="FK71" s="1" t="s">
        <v>8</v>
      </c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 t="s">
        <v>10</v>
      </c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 t="s">
        <v>10</v>
      </c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4" t="s">
        <v>13</v>
      </c>
    </row>
    <row r="72" spans="1:369" x14ac:dyDescent="0.25">
      <c r="A72" s="1">
        <v>68</v>
      </c>
      <c r="B72" s="28" t="s">
        <v>230</v>
      </c>
      <c r="C72" s="30" t="s">
        <v>97</v>
      </c>
      <c r="D72" s="1"/>
      <c r="E72" s="1"/>
      <c r="F72" s="1"/>
      <c r="G72" s="1"/>
      <c r="H72" s="1"/>
      <c r="I72" s="1"/>
      <c r="J72" s="1"/>
      <c r="K72" s="1" t="s">
        <v>8</v>
      </c>
      <c r="L72" s="1" t="s">
        <v>8</v>
      </c>
      <c r="M72" s="1" t="s">
        <v>8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 t="s">
        <v>8</v>
      </c>
      <c r="CK72" s="1" t="s">
        <v>8</v>
      </c>
      <c r="CL72" s="1" t="s">
        <v>8</v>
      </c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 t="s">
        <v>10</v>
      </c>
      <c r="ET72" s="1"/>
      <c r="EU72" s="1"/>
      <c r="EV72" s="1" t="s">
        <v>10</v>
      </c>
      <c r="EW72" s="1" t="s">
        <v>10</v>
      </c>
      <c r="EX72" s="1"/>
      <c r="EY72" s="1"/>
      <c r="EZ72" s="1" t="s">
        <v>10</v>
      </c>
      <c r="FA72" s="1" t="s">
        <v>10</v>
      </c>
      <c r="FB72" s="1"/>
      <c r="FC72" s="1" t="s">
        <v>10</v>
      </c>
      <c r="FD72" s="1" t="s">
        <v>10</v>
      </c>
      <c r="FE72" s="1"/>
      <c r="FF72" s="1"/>
      <c r="FG72" s="1" t="s">
        <v>8</v>
      </c>
      <c r="FH72" s="1" t="s">
        <v>8</v>
      </c>
      <c r="FI72" s="1" t="s">
        <v>8</v>
      </c>
      <c r="FJ72" s="1"/>
      <c r="FK72" s="1" t="s">
        <v>10</v>
      </c>
      <c r="FL72" s="1"/>
      <c r="FM72" s="1"/>
      <c r="FN72" s="1"/>
      <c r="FO72" s="1" t="s">
        <v>10</v>
      </c>
      <c r="FP72" s="1" t="s">
        <v>10</v>
      </c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 t="s">
        <v>10</v>
      </c>
      <c r="GK72" s="1"/>
      <c r="GL72" s="1"/>
      <c r="GM72" s="1"/>
      <c r="GN72" s="1"/>
      <c r="GO72" s="1" t="s">
        <v>10</v>
      </c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 t="s">
        <v>8</v>
      </c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 t="s">
        <v>10</v>
      </c>
      <c r="IF72" s="1"/>
      <c r="IG72" s="1"/>
      <c r="IH72" s="1"/>
      <c r="II72" s="1"/>
      <c r="IJ72" s="1" t="s">
        <v>8</v>
      </c>
      <c r="IK72" s="1"/>
      <c r="IL72" s="1" t="s">
        <v>8</v>
      </c>
      <c r="IM72" s="1" t="s">
        <v>8</v>
      </c>
      <c r="IN72" s="1"/>
      <c r="IO72" s="1"/>
      <c r="IP72" s="1"/>
      <c r="IQ72" s="1"/>
      <c r="IR72" s="1"/>
      <c r="IS72" s="1" t="s">
        <v>8</v>
      </c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4" t="s">
        <v>13</v>
      </c>
    </row>
    <row r="73" spans="1:369" x14ac:dyDescent="0.25">
      <c r="A73" s="1">
        <v>69</v>
      </c>
      <c r="B73" s="28" t="s">
        <v>230</v>
      </c>
      <c r="C73" s="30" t="s">
        <v>98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4" t="s">
        <v>13</v>
      </c>
    </row>
    <row r="74" spans="1:369" x14ac:dyDescent="0.25">
      <c r="A74" s="1">
        <v>70</v>
      </c>
      <c r="B74" s="28" t="s">
        <v>230</v>
      </c>
      <c r="C74" s="30" t="s">
        <v>99</v>
      </c>
      <c r="D74" s="1"/>
      <c r="E74" s="1"/>
      <c r="F74" s="1"/>
      <c r="G74" s="1"/>
      <c r="H74" s="1"/>
      <c r="I74" s="1"/>
      <c r="J74" s="1" t="s">
        <v>10</v>
      </c>
      <c r="K74" s="1" t="s">
        <v>10</v>
      </c>
      <c r="L74" s="1" t="s">
        <v>10</v>
      </c>
      <c r="M74" s="1"/>
      <c r="N74" s="1"/>
      <c r="O74" s="1"/>
      <c r="P74" s="1"/>
      <c r="Q74" s="1" t="s">
        <v>10</v>
      </c>
      <c r="R74" s="1" t="s">
        <v>10</v>
      </c>
      <c r="S74" s="1"/>
      <c r="T74" s="1" t="s">
        <v>10</v>
      </c>
      <c r="U74" s="1"/>
      <c r="V74" s="1"/>
      <c r="W74" s="1" t="s">
        <v>10</v>
      </c>
      <c r="X74" s="1" t="s">
        <v>10</v>
      </c>
      <c r="Y74" s="1" t="s">
        <v>10</v>
      </c>
      <c r="Z74" s="1"/>
      <c r="AA74" s="1"/>
      <c r="AB74" s="1"/>
      <c r="AC74" s="1" t="s">
        <v>10</v>
      </c>
      <c r="AD74" s="1" t="s">
        <v>10</v>
      </c>
      <c r="AE74" s="1"/>
      <c r="AF74" s="1"/>
      <c r="AG74" s="1" t="s">
        <v>10</v>
      </c>
      <c r="AH74" s="1" t="s">
        <v>10</v>
      </c>
      <c r="AI74" s="1"/>
      <c r="AJ74" s="1"/>
      <c r="AK74" s="1" t="s">
        <v>10</v>
      </c>
      <c r="AL74" s="1" t="s">
        <v>10</v>
      </c>
      <c r="AM74" s="1" t="s">
        <v>10</v>
      </c>
      <c r="AN74" s="1"/>
      <c r="AO74" s="1"/>
      <c r="AP74" s="1"/>
      <c r="AQ74" s="1" t="s">
        <v>10</v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 t="s">
        <v>10</v>
      </c>
      <c r="BN74" s="1"/>
      <c r="BO74" s="1"/>
      <c r="BP74" s="1" t="s">
        <v>10</v>
      </c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 t="s">
        <v>10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4" t="s">
        <v>13</v>
      </c>
    </row>
    <row r="75" spans="1:369" x14ac:dyDescent="0.25">
      <c r="A75" s="1">
        <v>71</v>
      </c>
      <c r="B75" s="28" t="s">
        <v>230</v>
      </c>
      <c r="C75" s="54" t="s">
        <v>100</v>
      </c>
      <c r="D75" s="49" t="s">
        <v>8</v>
      </c>
      <c r="E75" s="49" t="s">
        <v>8</v>
      </c>
      <c r="F75" s="49" t="s">
        <v>8</v>
      </c>
      <c r="G75" s="49" t="s">
        <v>8</v>
      </c>
      <c r="H75" s="49" t="s">
        <v>8</v>
      </c>
      <c r="I75" s="49" t="s">
        <v>8</v>
      </c>
      <c r="J75" s="49" t="s">
        <v>8</v>
      </c>
      <c r="K75" s="49" t="s">
        <v>8</v>
      </c>
      <c r="L75" s="49" t="s">
        <v>8</v>
      </c>
      <c r="M75" s="49" t="s">
        <v>8</v>
      </c>
      <c r="N75" s="49" t="s">
        <v>8</v>
      </c>
      <c r="O75" s="49" t="s">
        <v>8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 t="s">
        <v>8</v>
      </c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 t="s">
        <v>8</v>
      </c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 t="s">
        <v>10</v>
      </c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 t="s">
        <v>10</v>
      </c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 t="s">
        <v>8</v>
      </c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 t="s">
        <v>8</v>
      </c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4" t="s">
        <v>13</v>
      </c>
    </row>
    <row r="76" spans="1:369" x14ac:dyDescent="0.25">
      <c r="A76" s="1">
        <v>72</v>
      </c>
      <c r="B76" s="28" t="s">
        <v>230</v>
      </c>
      <c r="C76" s="54" t="s">
        <v>101</v>
      </c>
      <c r="D76" s="49" t="s">
        <v>8</v>
      </c>
      <c r="E76" s="49" t="s">
        <v>8</v>
      </c>
      <c r="F76" s="49" t="s">
        <v>8</v>
      </c>
      <c r="G76" s="49" t="s">
        <v>8</v>
      </c>
      <c r="H76" s="49" t="s">
        <v>8</v>
      </c>
      <c r="I76" s="49" t="s">
        <v>8</v>
      </c>
      <c r="J76" s="49"/>
      <c r="K76" s="49"/>
      <c r="L76" s="49"/>
      <c r="M76" s="49"/>
      <c r="N76" s="49"/>
      <c r="O76" s="49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4" t="s">
        <v>13</v>
      </c>
    </row>
    <row r="77" spans="1:369" x14ac:dyDescent="0.25">
      <c r="A77" s="1">
        <v>73</v>
      </c>
      <c r="B77" s="28" t="s">
        <v>230</v>
      </c>
      <c r="C77" s="30" t="s">
        <v>102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4" t="s">
        <v>13</v>
      </c>
    </row>
    <row r="78" spans="1:369" x14ac:dyDescent="0.25">
      <c r="A78" s="1">
        <v>74</v>
      </c>
      <c r="B78" s="28" t="s">
        <v>230</v>
      </c>
      <c r="C78" s="30" t="s">
        <v>177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 t="s">
        <v>10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 t="s">
        <v>10</v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 t="s">
        <v>10</v>
      </c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4"/>
    </row>
    <row r="79" spans="1:369" x14ac:dyDescent="0.25">
      <c r="A79" s="1">
        <v>75</v>
      </c>
      <c r="B79" s="28" t="s">
        <v>230</v>
      </c>
      <c r="C79" s="54" t="s">
        <v>194</v>
      </c>
      <c r="D79" s="1" t="s">
        <v>8</v>
      </c>
      <c r="E79" s="1" t="s">
        <v>8</v>
      </c>
      <c r="F79" s="1" t="s">
        <v>8</v>
      </c>
      <c r="G79" s="1" t="s">
        <v>8</v>
      </c>
      <c r="H79" s="1" t="s">
        <v>8</v>
      </c>
      <c r="I79" s="1" t="s">
        <v>8</v>
      </c>
      <c r="J79" s="1" t="s">
        <v>8</v>
      </c>
      <c r="K79" s="1" t="s">
        <v>8</v>
      </c>
      <c r="L79" s="1" t="s">
        <v>8</v>
      </c>
      <c r="M79" s="1" t="s">
        <v>8</v>
      </c>
      <c r="N79" s="1" t="s">
        <v>8</v>
      </c>
      <c r="O79" s="1" t="s">
        <v>8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4"/>
    </row>
    <row r="80" spans="1:369" x14ac:dyDescent="0.25">
      <c r="A80" s="1">
        <v>76</v>
      </c>
      <c r="B80" s="28" t="s">
        <v>230</v>
      </c>
      <c r="C80" s="54" t="s">
        <v>195</v>
      </c>
      <c r="D80" s="1" t="s">
        <v>8</v>
      </c>
      <c r="E80" s="1" t="s">
        <v>8</v>
      </c>
      <c r="F80" s="1" t="s">
        <v>8</v>
      </c>
      <c r="G80" s="1" t="s">
        <v>8</v>
      </c>
      <c r="H80" s="1" t="s">
        <v>8</v>
      </c>
      <c r="I80" s="1" t="s">
        <v>8</v>
      </c>
      <c r="J80" s="1" t="s">
        <v>8</v>
      </c>
      <c r="K80" s="1" t="s">
        <v>8</v>
      </c>
      <c r="L80" s="1" t="s">
        <v>8</v>
      </c>
      <c r="M80" s="1" t="s">
        <v>8</v>
      </c>
      <c r="N80" s="1" t="s">
        <v>8</v>
      </c>
      <c r="O80" s="1" t="s">
        <v>8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4"/>
    </row>
    <row r="81" spans="1:369" x14ac:dyDescent="0.25">
      <c r="A81" s="1">
        <v>77</v>
      </c>
      <c r="B81" s="28" t="s">
        <v>230</v>
      </c>
      <c r="C81" s="54" t="s">
        <v>196</v>
      </c>
      <c r="D81" s="1" t="s">
        <v>8</v>
      </c>
      <c r="E81" s="1" t="s">
        <v>8</v>
      </c>
      <c r="F81" s="1" t="s">
        <v>8</v>
      </c>
      <c r="G81" s="1" t="s">
        <v>8</v>
      </c>
      <c r="H81" s="1" t="s">
        <v>8</v>
      </c>
      <c r="I81" s="1" t="s">
        <v>8</v>
      </c>
      <c r="J81" s="1" t="s">
        <v>8</v>
      </c>
      <c r="K81" s="1" t="s">
        <v>8</v>
      </c>
      <c r="L81" s="1" t="s">
        <v>8</v>
      </c>
      <c r="M81" s="1" t="s">
        <v>8</v>
      </c>
      <c r="N81" s="1" t="s">
        <v>8</v>
      </c>
      <c r="O81" s="1" t="s">
        <v>8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49" t="s">
        <v>8</v>
      </c>
      <c r="EK81" s="49" t="s">
        <v>8</v>
      </c>
      <c r="EL81" s="1" t="s">
        <v>8</v>
      </c>
      <c r="EM81" s="1" t="s">
        <v>8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 t="s">
        <v>10</v>
      </c>
      <c r="FL81" s="1"/>
      <c r="FM81" s="1" t="s">
        <v>10</v>
      </c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 t="s">
        <v>10</v>
      </c>
      <c r="GB81" s="1"/>
      <c r="GC81" s="1"/>
      <c r="GD81" s="1"/>
      <c r="GE81" s="1" t="s">
        <v>8</v>
      </c>
      <c r="GF81" s="1" t="s">
        <v>8</v>
      </c>
      <c r="GG81" s="1"/>
      <c r="GH81" s="1"/>
      <c r="GI81" s="1"/>
      <c r="GJ81" s="1"/>
      <c r="GK81" s="1"/>
      <c r="GL81" s="1"/>
      <c r="GM81" s="1"/>
      <c r="GN81" s="1" t="s">
        <v>10</v>
      </c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 t="s">
        <v>10</v>
      </c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4"/>
    </row>
    <row r="82" spans="1:369" ht="15.75" customHeight="1" x14ac:dyDescent="0.25">
      <c r="A82" s="1">
        <v>78</v>
      </c>
      <c r="B82" s="28" t="s">
        <v>230</v>
      </c>
      <c r="C82" s="54" t="s">
        <v>201</v>
      </c>
      <c r="D82" s="1" t="s">
        <v>8</v>
      </c>
      <c r="E82" s="1" t="s">
        <v>8</v>
      </c>
      <c r="F82" s="1" t="s">
        <v>8</v>
      </c>
      <c r="G82" s="1" t="s">
        <v>8</v>
      </c>
      <c r="H82" s="1" t="s">
        <v>8</v>
      </c>
      <c r="I82" s="1" t="s">
        <v>8</v>
      </c>
      <c r="J82" s="1" t="s">
        <v>8</v>
      </c>
      <c r="K82" s="1" t="s">
        <v>8</v>
      </c>
      <c r="L82" s="1" t="s">
        <v>8</v>
      </c>
      <c r="M82" s="1" t="s">
        <v>8</v>
      </c>
      <c r="N82" s="1" t="s">
        <v>8</v>
      </c>
      <c r="O82" s="1" t="s">
        <v>8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 t="s">
        <v>10</v>
      </c>
      <c r="EZ82" s="1" t="s">
        <v>10</v>
      </c>
      <c r="FA82" s="1"/>
      <c r="FB82" s="1" t="s">
        <v>10</v>
      </c>
      <c r="FC82" s="1" t="s">
        <v>10</v>
      </c>
      <c r="FD82" s="1" t="s">
        <v>10</v>
      </c>
      <c r="FE82" s="1"/>
      <c r="FF82" s="1"/>
      <c r="FG82" s="1"/>
      <c r="FH82" s="1" t="s">
        <v>10</v>
      </c>
      <c r="FI82" s="1" t="s">
        <v>10</v>
      </c>
      <c r="FJ82" s="1"/>
      <c r="FK82" s="1" t="s">
        <v>10</v>
      </c>
      <c r="FL82" s="1"/>
      <c r="FM82" s="1"/>
      <c r="FN82" s="1" t="s">
        <v>10</v>
      </c>
      <c r="FO82" s="1"/>
      <c r="FP82" s="1"/>
      <c r="FQ82" s="1" t="s">
        <v>10</v>
      </c>
      <c r="FR82" s="1"/>
      <c r="FS82" s="1"/>
      <c r="FT82" s="1"/>
      <c r="FU82" s="1" t="s">
        <v>10</v>
      </c>
      <c r="FV82" s="1" t="s">
        <v>10</v>
      </c>
      <c r="FW82" s="1"/>
      <c r="FX82" s="1"/>
      <c r="FY82" s="1" t="s">
        <v>10</v>
      </c>
      <c r="FZ82" s="1"/>
      <c r="GA82" s="1" t="s">
        <v>8</v>
      </c>
      <c r="GB82" s="1" t="s">
        <v>8</v>
      </c>
      <c r="GC82" s="1" t="s">
        <v>8</v>
      </c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 t="s">
        <v>10</v>
      </c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 t="s">
        <v>10</v>
      </c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4"/>
    </row>
    <row r="83" spans="1:369" x14ac:dyDescent="0.25">
      <c r="A83" s="1">
        <v>79</v>
      </c>
      <c r="B83" s="28" t="s">
        <v>135</v>
      </c>
      <c r="C83" s="31" t="s">
        <v>103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 t="s">
        <v>10</v>
      </c>
      <c r="GF83" s="1"/>
      <c r="GG83" s="1"/>
      <c r="GH83" s="1"/>
      <c r="GI83" s="1"/>
      <c r="GJ83" s="1"/>
      <c r="GK83" s="1"/>
      <c r="GL83" s="1"/>
      <c r="GM83" s="1"/>
      <c r="GN83" s="1"/>
      <c r="GO83" s="1" t="s">
        <v>10</v>
      </c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 t="s">
        <v>8</v>
      </c>
      <c r="IK83" s="1" t="s">
        <v>8</v>
      </c>
      <c r="IL83" s="1" t="s">
        <v>8</v>
      </c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4" t="s">
        <v>13</v>
      </c>
    </row>
    <row r="84" spans="1:369" x14ac:dyDescent="0.25">
      <c r="A84" s="1">
        <v>80</v>
      </c>
      <c r="B84" s="28" t="s">
        <v>135</v>
      </c>
      <c r="C84" s="31" t="s">
        <v>104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 t="s">
        <v>10</v>
      </c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4" t="s">
        <v>13</v>
      </c>
    </row>
    <row r="85" spans="1:369" x14ac:dyDescent="0.25">
      <c r="A85" s="1">
        <v>81</v>
      </c>
      <c r="B85" s="28" t="s">
        <v>135</v>
      </c>
      <c r="C85" s="31" t="s">
        <v>105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 t="s">
        <v>10</v>
      </c>
      <c r="BR85" s="1"/>
      <c r="BS85" s="1" t="s">
        <v>10</v>
      </c>
      <c r="BT85" s="1" t="s">
        <v>10</v>
      </c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 t="s">
        <v>8</v>
      </c>
      <c r="EP85" s="1"/>
      <c r="EQ85" s="1"/>
      <c r="ER85" s="1" t="s">
        <v>10</v>
      </c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 t="s">
        <v>10</v>
      </c>
      <c r="FY85" s="1"/>
      <c r="FZ85" s="1"/>
      <c r="GA85" s="1"/>
      <c r="GB85" s="1" t="s">
        <v>10</v>
      </c>
      <c r="GC85" s="1" t="s">
        <v>10</v>
      </c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 t="s">
        <v>8</v>
      </c>
      <c r="GT85" s="1"/>
      <c r="GU85" s="1"/>
      <c r="GV85" s="1" t="s">
        <v>10</v>
      </c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 t="s">
        <v>10</v>
      </c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 t="s">
        <v>8</v>
      </c>
      <c r="IQ85" s="1" t="s">
        <v>8</v>
      </c>
      <c r="IR85" s="1" t="s">
        <v>8</v>
      </c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4" t="s">
        <v>13</v>
      </c>
    </row>
    <row r="86" spans="1:369" x14ac:dyDescent="0.25">
      <c r="A86" s="1">
        <v>82</v>
      </c>
      <c r="B86" s="28" t="s">
        <v>135</v>
      </c>
      <c r="C86" s="31" t="s">
        <v>106</v>
      </c>
      <c r="D86" s="1" t="s">
        <v>8</v>
      </c>
      <c r="E86" s="1" t="s">
        <v>8</v>
      </c>
      <c r="F86" s="1" t="s">
        <v>8</v>
      </c>
      <c r="G86" s="1" t="s">
        <v>8</v>
      </c>
      <c r="H86" s="1" t="s">
        <v>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 t="s">
        <v>6</v>
      </c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49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 t="s">
        <v>8</v>
      </c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4" t="s">
        <v>13</v>
      </c>
    </row>
    <row r="87" spans="1:369" x14ac:dyDescent="0.25">
      <c r="A87" s="1">
        <v>83</v>
      </c>
      <c r="B87" s="28" t="s">
        <v>136</v>
      </c>
      <c r="C87" s="40" t="s">
        <v>107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 t="s">
        <v>10</v>
      </c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 t="s">
        <v>8</v>
      </c>
      <c r="GA87" s="1" t="s">
        <v>8</v>
      </c>
      <c r="GB87" s="1" t="s">
        <v>8</v>
      </c>
      <c r="GC87" s="1" t="s">
        <v>8</v>
      </c>
      <c r="GD87" s="1" t="s">
        <v>8</v>
      </c>
      <c r="GE87" s="1" t="s">
        <v>8</v>
      </c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 t="s">
        <v>10</v>
      </c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4" t="s">
        <v>13</v>
      </c>
    </row>
    <row r="88" spans="1:369" x14ac:dyDescent="0.25">
      <c r="A88" s="1">
        <v>84</v>
      </c>
      <c r="B88" s="28" t="s">
        <v>136</v>
      </c>
      <c r="C88" s="40" t="s">
        <v>108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 t="s">
        <v>10</v>
      </c>
      <c r="AZ88" s="1" t="s">
        <v>10</v>
      </c>
      <c r="BA88" s="1"/>
      <c r="BB88" s="1"/>
      <c r="BC88" s="1"/>
      <c r="BD88" s="1"/>
      <c r="BE88" s="1"/>
      <c r="BF88" s="1"/>
      <c r="BG88" s="1"/>
      <c r="BH88" s="1"/>
      <c r="BI88" s="1" t="s">
        <v>10</v>
      </c>
      <c r="BJ88" s="1"/>
      <c r="BK88" s="1"/>
      <c r="BL88" s="1"/>
      <c r="BM88" s="1" t="s">
        <v>10</v>
      </c>
      <c r="BN88" s="1"/>
      <c r="BO88" s="1" t="s">
        <v>10</v>
      </c>
      <c r="BP88" s="1"/>
      <c r="BQ88" s="1" t="s">
        <v>10</v>
      </c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 t="s">
        <v>10</v>
      </c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 t="s">
        <v>10</v>
      </c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 t="s">
        <v>10</v>
      </c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 t="s">
        <v>10</v>
      </c>
      <c r="GV88" s="1"/>
      <c r="GW88" s="1"/>
      <c r="GX88" s="1"/>
      <c r="GY88" s="1"/>
      <c r="GZ88" s="1"/>
      <c r="HA88" s="1"/>
      <c r="HB88" s="1"/>
      <c r="HC88" s="1"/>
      <c r="HD88" s="1"/>
      <c r="HE88" s="1" t="s">
        <v>10</v>
      </c>
      <c r="HF88" s="1"/>
      <c r="HG88" s="1"/>
      <c r="HH88" s="1"/>
      <c r="HI88" s="1" t="s">
        <v>10</v>
      </c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 t="s">
        <v>10</v>
      </c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4" t="s">
        <v>13</v>
      </c>
    </row>
    <row r="89" spans="1:369" x14ac:dyDescent="0.25">
      <c r="A89" s="1">
        <v>85</v>
      </c>
      <c r="B89" s="28" t="s">
        <v>136</v>
      </c>
      <c r="C89" s="40" t="s">
        <v>109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 t="s">
        <v>8</v>
      </c>
      <c r="IM89" s="1" t="s">
        <v>8</v>
      </c>
      <c r="IN89" s="1" t="s">
        <v>8</v>
      </c>
      <c r="IO89" s="1" t="s">
        <v>8</v>
      </c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4" t="s">
        <v>13</v>
      </c>
    </row>
    <row r="90" spans="1:369" x14ac:dyDescent="0.25">
      <c r="A90" s="1">
        <v>86</v>
      </c>
      <c r="B90" s="28" t="s">
        <v>136</v>
      </c>
      <c r="C90" s="40" t="s">
        <v>110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 t="s">
        <v>8</v>
      </c>
      <c r="AF90" s="1"/>
      <c r="AG90" s="1"/>
      <c r="AH90" s="1"/>
      <c r="AI90" s="1"/>
      <c r="AJ90" s="1"/>
      <c r="AK90" s="1" t="s">
        <v>10</v>
      </c>
      <c r="AL90" s="1"/>
      <c r="AM90" s="1"/>
      <c r="AN90" s="1" t="s">
        <v>10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 t="s">
        <v>10</v>
      </c>
      <c r="BH90" s="1"/>
      <c r="BI90" s="1"/>
      <c r="BJ90" s="1"/>
      <c r="BK90" s="1"/>
      <c r="BL90" s="1"/>
      <c r="BM90" s="1"/>
      <c r="BN90" s="1" t="s">
        <v>10</v>
      </c>
      <c r="BO90" s="1"/>
      <c r="BP90" s="1"/>
      <c r="BQ90" s="1"/>
      <c r="BR90" s="1" t="s">
        <v>10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 t="s">
        <v>8</v>
      </c>
      <c r="CN90" s="1" t="s">
        <v>8</v>
      </c>
      <c r="CO90" s="1" t="s">
        <v>8</v>
      </c>
      <c r="CP90" s="1" t="s">
        <v>8</v>
      </c>
      <c r="CQ90" s="1" t="s">
        <v>8</v>
      </c>
      <c r="CR90" s="1" t="s">
        <v>8</v>
      </c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 t="s">
        <v>10</v>
      </c>
      <c r="DK90" s="1" t="s">
        <v>10</v>
      </c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10</v>
      </c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 t="s">
        <v>10</v>
      </c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 t="s">
        <v>10</v>
      </c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 t="s">
        <v>8</v>
      </c>
      <c r="JE90" s="1" t="s">
        <v>8</v>
      </c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4" t="s">
        <v>13</v>
      </c>
    </row>
    <row r="91" spans="1:369" x14ac:dyDescent="0.25">
      <c r="A91" s="1">
        <v>87</v>
      </c>
      <c r="B91" s="28" t="s">
        <v>137</v>
      </c>
      <c r="C91" s="39" t="s">
        <v>111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 t="s">
        <v>8</v>
      </c>
      <c r="IW91" s="1" t="s">
        <v>8</v>
      </c>
      <c r="IX91" s="1" t="s">
        <v>8</v>
      </c>
      <c r="IY91" s="1" t="s">
        <v>8</v>
      </c>
      <c r="IZ91" s="1" t="s">
        <v>8</v>
      </c>
      <c r="JA91" s="1" t="s">
        <v>8</v>
      </c>
      <c r="JB91" s="1" t="s">
        <v>8</v>
      </c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4" t="s">
        <v>13</v>
      </c>
    </row>
    <row r="92" spans="1:369" x14ac:dyDescent="0.25">
      <c r="A92" s="1">
        <v>88</v>
      </c>
      <c r="B92" s="28" t="s">
        <v>137</v>
      </c>
      <c r="C92" s="39" t="s">
        <v>112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4" t="s">
        <v>13</v>
      </c>
    </row>
    <row r="93" spans="1:369" x14ac:dyDescent="0.25">
      <c r="A93" s="1">
        <v>89</v>
      </c>
      <c r="B93" s="28" t="s">
        <v>138</v>
      </c>
      <c r="C93" s="40" t="s">
        <v>113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4" t="s">
        <v>13</v>
      </c>
    </row>
    <row r="94" spans="1:369" x14ac:dyDescent="0.25">
      <c r="A94" s="1">
        <v>90</v>
      </c>
      <c r="B94" s="28" t="s">
        <v>138</v>
      </c>
      <c r="C94" s="40" t="s">
        <v>114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 t="s">
        <v>8</v>
      </c>
      <c r="AK94" s="1" t="s">
        <v>8</v>
      </c>
      <c r="AL94" s="1" t="s">
        <v>8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 t="s">
        <v>8</v>
      </c>
      <c r="CK94" s="1" t="s">
        <v>8</v>
      </c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 t="s">
        <v>8</v>
      </c>
      <c r="DX94" s="1" t="s">
        <v>8</v>
      </c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 t="s">
        <v>8</v>
      </c>
      <c r="GO94" s="1" t="s">
        <v>8</v>
      </c>
      <c r="GP94" s="1" t="s">
        <v>8</v>
      </c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4" t="s">
        <v>13</v>
      </c>
    </row>
    <row r="95" spans="1:369" x14ac:dyDescent="0.25">
      <c r="A95" s="1">
        <v>91</v>
      </c>
      <c r="B95" s="28" t="s">
        <v>138</v>
      </c>
      <c r="C95" s="40" t="s">
        <v>115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 t="s">
        <v>10</v>
      </c>
      <c r="BR95" s="1"/>
      <c r="BS95" s="1"/>
      <c r="BT95" s="1" t="s">
        <v>10</v>
      </c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 t="s">
        <v>8</v>
      </c>
      <c r="CP95" s="1" t="s">
        <v>8</v>
      </c>
      <c r="CQ95" s="1" t="s">
        <v>8</v>
      </c>
      <c r="CR95" s="1" t="s">
        <v>8</v>
      </c>
      <c r="CS95" s="1" t="s">
        <v>8</v>
      </c>
      <c r="CT95" s="1" t="s">
        <v>8</v>
      </c>
      <c r="CU95" s="1" t="s">
        <v>8</v>
      </c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 t="s">
        <v>10</v>
      </c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 t="s">
        <v>8</v>
      </c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4" t="s">
        <v>13</v>
      </c>
    </row>
    <row r="96" spans="1:369" x14ac:dyDescent="0.25">
      <c r="A96" s="1">
        <v>92</v>
      </c>
      <c r="B96" s="28" t="s">
        <v>138</v>
      </c>
      <c r="C96" s="40" t="s">
        <v>116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 t="s">
        <v>8</v>
      </c>
      <c r="GP96" s="1" t="s">
        <v>8</v>
      </c>
      <c r="GQ96" s="1" t="s">
        <v>8</v>
      </c>
      <c r="GR96" s="1" t="s">
        <v>8</v>
      </c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4" t="s">
        <v>13</v>
      </c>
    </row>
    <row r="97" spans="1:369" x14ac:dyDescent="0.25">
      <c r="A97" s="1">
        <v>93</v>
      </c>
      <c r="B97" s="28" t="s">
        <v>138</v>
      </c>
      <c r="C97" s="40" t="s">
        <v>117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 t="s">
        <v>10</v>
      </c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 t="s">
        <v>8</v>
      </c>
      <c r="IF97" s="1" t="s">
        <v>8</v>
      </c>
      <c r="IG97" s="1" t="s">
        <v>8</v>
      </c>
      <c r="IH97" s="1" t="s">
        <v>8</v>
      </c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 t="s">
        <v>8</v>
      </c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4" t="s">
        <v>13</v>
      </c>
    </row>
    <row r="98" spans="1:369" x14ac:dyDescent="0.25">
      <c r="A98" s="1">
        <v>94</v>
      </c>
      <c r="B98" s="28" t="s">
        <v>138</v>
      </c>
      <c r="C98" s="40" t="s">
        <v>118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 t="s">
        <v>10</v>
      </c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 t="s">
        <v>10</v>
      </c>
      <c r="FZ98" s="1"/>
      <c r="GA98" s="1"/>
      <c r="GB98" s="1"/>
      <c r="GC98" s="1"/>
      <c r="GD98" s="1" t="s">
        <v>10</v>
      </c>
      <c r="GE98" s="1"/>
      <c r="GF98" s="1"/>
      <c r="GG98" s="1"/>
      <c r="GH98" s="1"/>
      <c r="GI98" s="1"/>
      <c r="GJ98" s="1"/>
      <c r="GK98" s="1"/>
      <c r="GL98" s="1"/>
      <c r="GM98" s="1" t="s">
        <v>8</v>
      </c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 t="s">
        <v>10</v>
      </c>
      <c r="GY98" s="1"/>
      <c r="GZ98" s="1"/>
      <c r="HA98" s="1"/>
      <c r="HB98" s="1"/>
      <c r="HC98" s="1"/>
      <c r="HD98" s="1"/>
      <c r="HE98" s="1" t="s">
        <v>8</v>
      </c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 t="s">
        <v>10</v>
      </c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 t="s">
        <v>8</v>
      </c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4" t="s">
        <v>13</v>
      </c>
    </row>
    <row r="99" spans="1:369" x14ac:dyDescent="0.25">
      <c r="A99" s="1">
        <v>95</v>
      </c>
      <c r="B99" s="28" t="s">
        <v>138</v>
      </c>
      <c r="C99" s="40" t="s">
        <v>198</v>
      </c>
      <c r="D99" s="1" t="s">
        <v>8</v>
      </c>
      <c r="E99" s="1" t="s">
        <v>8</v>
      </c>
      <c r="F99" s="1" t="s">
        <v>8</v>
      </c>
      <c r="G99" s="1" t="s">
        <v>8</v>
      </c>
      <c r="H99" s="1" t="s">
        <v>8</v>
      </c>
      <c r="I99" s="1" t="s">
        <v>8</v>
      </c>
      <c r="J99" s="1" t="s">
        <v>8</v>
      </c>
      <c r="K99" s="1" t="s">
        <v>8</v>
      </c>
      <c r="L99" s="1" t="s">
        <v>8</v>
      </c>
      <c r="M99" s="1" t="s">
        <v>8</v>
      </c>
      <c r="N99" s="1" t="s">
        <v>8</v>
      </c>
      <c r="O99" s="1" t="s">
        <v>8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 t="s">
        <v>10</v>
      </c>
      <c r="EY99" s="1"/>
      <c r="EZ99" s="1" t="s">
        <v>10</v>
      </c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 t="s">
        <v>10</v>
      </c>
      <c r="FL99" s="1" t="s">
        <v>10</v>
      </c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4" t="s">
        <v>13</v>
      </c>
    </row>
    <row r="100" spans="1:369" x14ac:dyDescent="0.25">
      <c r="A100" s="1">
        <v>96</v>
      </c>
      <c r="B100" s="28" t="s">
        <v>138</v>
      </c>
      <c r="C100" s="40" t="s">
        <v>119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 t="s">
        <v>8</v>
      </c>
      <c r="AM100" s="1"/>
      <c r="AN100" s="1"/>
      <c r="AO100" s="1"/>
      <c r="AP100" s="1"/>
      <c r="AQ100" s="1"/>
      <c r="AR100" s="1"/>
      <c r="AS100" s="1"/>
      <c r="AT100" s="1"/>
      <c r="AU100" s="1" t="s">
        <v>10</v>
      </c>
      <c r="AV100" s="1"/>
      <c r="AW100" s="1"/>
      <c r="AX100" s="1"/>
      <c r="AY100" s="1"/>
      <c r="AZ100" s="1"/>
      <c r="BA100" s="1"/>
      <c r="BB100" s="1" t="s">
        <v>10</v>
      </c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10</v>
      </c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 t="s">
        <v>8</v>
      </c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 t="s">
        <v>10</v>
      </c>
      <c r="FI100" s="1"/>
      <c r="FJ100" s="1"/>
      <c r="FK100" s="1"/>
      <c r="FL100" s="1"/>
      <c r="FM100" s="1"/>
      <c r="FN100" s="1"/>
      <c r="FO100" s="1"/>
      <c r="FP100" s="1" t="s">
        <v>10</v>
      </c>
      <c r="FQ100" s="1"/>
      <c r="FR100" s="1"/>
      <c r="FS100" s="1"/>
      <c r="FT100" s="1"/>
      <c r="FU100" s="1"/>
      <c r="FV100" s="1" t="s">
        <v>10</v>
      </c>
      <c r="FW100" s="1"/>
      <c r="FX100" s="1"/>
      <c r="FY100" s="1"/>
      <c r="FZ100" s="1"/>
      <c r="GA100" s="1" t="s">
        <v>10</v>
      </c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 t="s">
        <v>10</v>
      </c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4" t="s">
        <v>13</v>
      </c>
    </row>
    <row r="101" spans="1:369" x14ac:dyDescent="0.25">
      <c r="A101" s="1">
        <v>97</v>
      </c>
      <c r="B101" s="28" t="s">
        <v>138</v>
      </c>
      <c r="C101" s="40" t="s">
        <v>120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 t="s">
        <v>10</v>
      </c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 t="s">
        <v>8</v>
      </c>
      <c r="CK101" s="1" t="s">
        <v>8</v>
      </c>
      <c r="CL101" s="1" t="s">
        <v>8</v>
      </c>
      <c r="CM101" s="1"/>
      <c r="CN101" s="1" t="s">
        <v>8</v>
      </c>
      <c r="CO101" s="1" t="s">
        <v>8</v>
      </c>
      <c r="CP101" s="1" t="s">
        <v>8</v>
      </c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 t="s">
        <v>8</v>
      </c>
      <c r="DF101" s="1" t="s">
        <v>8</v>
      </c>
      <c r="DG101" s="1" t="s">
        <v>8</v>
      </c>
      <c r="DH101" s="1"/>
      <c r="DI101" s="1" t="s">
        <v>8</v>
      </c>
      <c r="DJ101" s="1" t="s">
        <v>8</v>
      </c>
      <c r="DK101" s="1" t="s">
        <v>8</v>
      </c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 t="s">
        <v>8</v>
      </c>
      <c r="EG101" s="1" t="s">
        <v>8</v>
      </c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4" t="s">
        <v>13</v>
      </c>
    </row>
    <row r="102" spans="1:369" x14ac:dyDescent="0.25">
      <c r="A102" s="1">
        <v>98</v>
      </c>
      <c r="B102" s="28" t="s">
        <v>138</v>
      </c>
      <c r="C102" s="40" t="s">
        <v>121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 t="s">
        <v>10</v>
      </c>
      <c r="BH102" s="1"/>
      <c r="BI102" s="1"/>
      <c r="BJ102" s="1"/>
      <c r="BK102" s="1"/>
      <c r="BL102" s="1" t="s">
        <v>10</v>
      </c>
      <c r="BM102" s="1"/>
      <c r="BN102" s="1"/>
      <c r="BO102" s="1"/>
      <c r="BP102" s="1"/>
      <c r="BQ102" s="1" t="s">
        <v>10</v>
      </c>
      <c r="BR102" s="1"/>
      <c r="BS102" s="1"/>
      <c r="BT102" s="1" t="s">
        <v>10</v>
      </c>
      <c r="BU102" s="1"/>
      <c r="BV102" s="1" t="s">
        <v>10</v>
      </c>
      <c r="BW102" s="1"/>
      <c r="BX102" s="1"/>
      <c r="BY102" s="1"/>
      <c r="BZ102" s="1"/>
      <c r="CA102" s="1" t="s">
        <v>10</v>
      </c>
      <c r="CB102" s="1" t="s">
        <v>10</v>
      </c>
      <c r="CC102" s="1"/>
      <c r="CD102" s="1"/>
      <c r="CE102" s="1"/>
      <c r="CF102" s="1"/>
      <c r="CG102" s="1"/>
      <c r="CH102" s="1"/>
      <c r="CI102" s="1"/>
      <c r="CJ102" s="1" t="s">
        <v>8</v>
      </c>
      <c r="CK102" s="1" t="s">
        <v>8</v>
      </c>
      <c r="CL102" s="1" t="s">
        <v>8</v>
      </c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 t="s">
        <v>10</v>
      </c>
      <c r="ET102" s="1"/>
      <c r="EU102" s="1" t="s">
        <v>10</v>
      </c>
      <c r="EV102" s="1" t="s">
        <v>10</v>
      </c>
      <c r="EW102" s="1"/>
      <c r="EX102" s="1"/>
      <c r="EY102" s="1"/>
      <c r="EZ102" s="1"/>
      <c r="FA102" s="1"/>
      <c r="FB102" s="1"/>
      <c r="FC102" s="1"/>
      <c r="FD102" s="1" t="s">
        <v>10</v>
      </c>
      <c r="FE102" s="1"/>
      <c r="FF102" s="1"/>
      <c r="FG102" s="1" t="s">
        <v>10</v>
      </c>
      <c r="FH102" s="1" t="s">
        <v>10</v>
      </c>
      <c r="FI102" s="1" t="s">
        <v>10</v>
      </c>
      <c r="FJ102" s="1"/>
      <c r="FK102" s="1"/>
      <c r="FL102" s="1"/>
      <c r="FM102" s="1" t="s">
        <v>10</v>
      </c>
      <c r="FN102" s="1" t="s">
        <v>10</v>
      </c>
      <c r="FO102" s="1" t="s">
        <v>10</v>
      </c>
      <c r="FP102" s="1"/>
      <c r="FQ102" s="1" t="s">
        <v>10</v>
      </c>
      <c r="FR102" s="1"/>
      <c r="FS102" s="1"/>
      <c r="FT102" s="1"/>
      <c r="FU102" s="1"/>
      <c r="FV102" s="1" t="s">
        <v>10</v>
      </c>
      <c r="FW102" s="1"/>
      <c r="FX102" s="1" t="s">
        <v>10</v>
      </c>
      <c r="FY102" s="1"/>
      <c r="FZ102" s="1"/>
      <c r="GA102" s="1" t="s">
        <v>10</v>
      </c>
      <c r="GB102" s="1" t="s">
        <v>8</v>
      </c>
      <c r="GC102" s="1" t="s">
        <v>10</v>
      </c>
      <c r="GD102" s="1"/>
      <c r="GE102" s="1" t="s">
        <v>10</v>
      </c>
      <c r="GF102" s="1"/>
      <c r="GG102" s="1"/>
      <c r="GH102" s="1" t="s">
        <v>10</v>
      </c>
      <c r="GI102" s="1"/>
      <c r="GJ102" s="1"/>
      <c r="GK102" s="1" t="s">
        <v>10</v>
      </c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 t="s">
        <v>10</v>
      </c>
      <c r="HI102" s="1"/>
      <c r="HJ102" s="1" t="s">
        <v>10</v>
      </c>
      <c r="HK102" s="1" t="s">
        <v>10</v>
      </c>
      <c r="HL102" s="1" t="s">
        <v>10</v>
      </c>
      <c r="HM102" s="1"/>
      <c r="HN102" s="1" t="s">
        <v>8</v>
      </c>
      <c r="HO102" s="1" t="s">
        <v>8</v>
      </c>
      <c r="HP102" s="1"/>
      <c r="HQ102" s="1" t="s">
        <v>8</v>
      </c>
      <c r="HR102" s="1" t="s">
        <v>8</v>
      </c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4" t="s">
        <v>13</v>
      </c>
    </row>
    <row r="103" spans="1:369" x14ac:dyDescent="0.25">
      <c r="A103" s="1">
        <v>99</v>
      </c>
      <c r="B103" s="28" t="s">
        <v>138</v>
      </c>
      <c r="C103" s="40" t="s">
        <v>199</v>
      </c>
      <c r="D103" s="1" t="s">
        <v>8</v>
      </c>
      <c r="E103" s="1" t="s">
        <v>8</v>
      </c>
      <c r="F103" s="1" t="s">
        <v>8</v>
      </c>
      <c r="G103" s="1" t="s">
        <v>8</v>
      </c>
      <c r="H103" s="1" t="s">
        <v>8</v>
      </c>
      <c r="I103" s="1" t="s">
        <v>8</v>
      </c>
      <c r="J103" s="1" t="s">
        <v>8</v>
      </c>
      <c r="K103" s="1" t="s">
        <v>8</v>
      </c>
      <c r="L103" s="1" t="s">
        <v>8</v>
      </c>
      <c r="M103" s="1" t="s">
        <v>8</v>
      </c>
      <c r="N103" s="1" t="s">
        <v>8</v>
      </c>
      <c r="O103" s="1" t="s">
        <v>8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 t="s">
        <v>10</v>
      </c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 t="s">
        <v>10</v>
      </c>
      <c r="HF103" s="1"/>
      <c r="HG103" s="1"/>
      <c r="HH103" s="1"/>
      <c r="HI103" s="1"/>
      <c r="HJ103" s="1"/>
      <c r="HK103" s="1"/>
      <c r="HL103" s="1"/>
      <c r="HM103" s="1"/>
      <c r="HN103" s="1" t="s">
        <v>10</v>
      </c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4" t="s">
        <v>13</v>
      </c>
    </row>
    <row r="104" spans="1:369" x14ac:dyDescent="0.25">
      <c r="A104" s="1">
        <v>100</v>
      </c>
      <c r="B104" s="28" t="s">
        <v>138</v>
      </c>
      <c r="C104" s="40" t="s">
        <v>122</v>
      </c>
      <c r="D104" s="1" t="s">
        <v>8</v>
      </c>
      <c r="E104" s="1" t="s">
        <v>8</v>
      </c>
      <c r="F104" s="1" t="s">
        <v>8</v>
      </c>
      <c r="G104" s="1" t="s">
        <v>8</v>
      </c>
      <c r="H104" s="1" t="s">
        <v>8</v>
      </c>
      <c r="I104" s="1" t="s">
        <v>8</v>
      </c>
      <c r="J104" s="1" t="s">
        <v>8</v>
      </c>
      <c r="K104" s="1" t="s">
        <v>8</v>
      </c>
      <c r="L104" s="1" t="s">
        <v>8</v>
      </c>
      <c r="M104" s="1" t="s">
        <v>8</v>
      </c>
      <c r="N104" s="1" t="s">
        <v>8</v>
      </c>
      <c r="O104" s="1" t="s">
        <v>8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 t="s">
        <v>10</v>
      </c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 t="s">
        <v>8</v>
      </c>
      <c r="GB104" s="1" t="s">
        <v>8</v>
      </c>
      <c r="GC104" s="1" t="s">
        <v>8</v>
      </c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 t="s">
        <v>10</v>
      </c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4" t="s">
        <v>13</v>
      </c>
    </row>
    <row r="105" spans="1:369" x14ac:dyDescent="0.25">
      <c r="A105" s="1">
        <v>101</v>
      </c>
      <c r="B105" s="28" t="s">
        <v>138</v>
      </c>
      <c r="C105" s="30" t="s">
        <v>123</v>
      </c>
      <c r="D105" s="1" t="s">
        <v>8</v>
      </c>
      <c r="E105" s="1" t="s">
        <v>8</v>
      </c>
      <c r="F105" s="1" t="s">
        <v>8</v>
      </c>
      <c r="G105" s="1" t="s">
        <v>8</v>
      </c>
      <c r="H105" s="1" t="s">
        <v>8</v>
      </c>
      <c r="I105" s="1" t="s">
        <v>8</v>
      </c>
      <c r="J105" s="1" t="s">
        <v>8</v>
      </c>
      <c r="K105" s="1" t="s">
        <v>8</v>
      </c>
      <c r="L105" s="1" t="s">
        <v>8</v>
      </c>
      <c r="M105" s="1" t="s">
        <v>8</v>
      </c>
      <c r="N105" s="1" t="s">
        <v>8</v>
      </c>
      <c r="O105" s="1" t="s">
        <v>8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 t="s">
        <v>10</v>
      </c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 t="s">
        <v>8</v>
      </c>
      <c r="FI105" s="1" t="s">
        <v>8</v>
      </c>
      <c r="FJ105" s="1" t="s">
        <v>8</v>
      </c>
      <c r="FK105" s="1" t="s">
        <v>8</v>
      </c>
      <c r="FL105" s="1"/>
      <c r="FM105" s="1" t="s">
        <v>8</v>
      </c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 t="s">
        <v>10</v>
      </c>
      <c r="HS105" s="1" t="s">
        <v>10</v>
      </c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 t="s">
        <v>8</v>
      </c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4" t="s">
        <v>13</v>
      </c>
    </row>
    <row r="106" spans="1:369" x14ac:dyDescent="0.25">
      <c r="A106" s="1">
        <v>102</v>
      </c>
      <c r="B106" s="28" t="s">
        <v>138</v>
      </c>
      <c r="C106" s="30" t="s">
        <v>202</v>
      </c>
      <c r="D106" s="1" t="s">
        <v>8</v>
      </c>
      <c r="E106" s="1" t="s">
        <v>8</v>
      </c>
      <c r="F106" s="1" t="s">
        <v>8</v>
      </c>
      <c r="G106" s="1" t="s">
        <v>8</v>
      </c>
      <c r="H106" s="1" t="s">
        <v>8</v>
      </c>
      <c r="I106" s="1" t="s">
        <v>8</v>
      </c>
      <c r="J106" s="1" t="s">
        <v>8</v>
      </c>
      <c r="K106" s="1" t="s">
        <v>8</v>
      </c>
      <c r="L106" s="1" t="s">
        <v>8</v>
      </c>
      <c r="M106" s="1" t="s">
        <v>8</v>
      </c>
      <c r="N106" s="1" t="s">
        <v>8</v>
      </c>
      <c r="O106" s="1" t="s">
        <v>8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4"/>
    </row>
    <row r="107" spans="1:369" x14ac:dyDescent="0.25">
      <c r="A107" s="1">
        <v>103</v>
      </c>
      <c r="B107" s="28" t="s">
        <v>139</v>
      </c>
      <c r="C107" s="30" t="s">
        <v>203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 t="s">
        <v>10</v>
      </c>
      <c r="AG107" s="1"/>
      <c r="AH107" s="1" t="s">
        <v>10</v>
      </c>
      <c r="AI107" s="1"/>
      <c r="AJ107" s="1"/>
      <c r="AK107" s="1"/>
      <c r="AL107" s="1"/>
      <c r="AM107" s="1"/>
      <c r="AN107" s="1"/>
      <c r="AO107" s="1"/>
      <c r="AP107" s="1"/>
      <c r="AQ107" s="1" t="s">
        <v>10</v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 t="s">
        <v>10</v>
      </c>
      <c r="BC107" s="1" t="s">
        <v>10</v>
      </c>
      <c r="BD107" s="1"/>
      <c r="BE107" s="1"/>
      <c r="BF107" s="1"/>
      <c r="BG107" s="1"/>
      <c r="BH107" s="1"/>
      <c r="BI107" s="1"/>
      <c r="BJ107" s="1"/>
      <c r="BK107" s="1"/>
      <c r="BL107" s="1"/>
      <c r="BM107" s="1" t="s">
        <v>10</v>
      </c>
      <c r="BN107" s="1"/>
      <c r="BO107" s="1"/>
      <c r="BP107" s="1"/>
      <c r="BQ107" s="1"/>
      <c r="BR107" s="1" t="s">
        <v>10</v>
      </c>
      <c r="BS107" s="1"/>
      <c r="BT107" s="1"/>
      <c r="BU107" s="1"/>
      <c r="BV107" s="1"/>
      <c r="BW107" s="1"/>
      <c r="BX107" s="1"/>
      <c r="BY107" s="1"/>
      <c r="BZ107" s="1"/>
      <c r="CA107" s="1" t="s">
        <v>10</v>
      </c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 t="s">
        <v>10</v>
      </c>
      <c r="DW107" s="1"/>
      <c r="DX107" s="1"/>
      <c r="DY107" s="1"/>
      <c r="DZ107" s="1"/>
      <c r="EA107" s="1"/>
      <c r="EB107" s="1" t="s">
        <v>10</v>
      </c>
      <c r="EC107" s="1"/>
      <c r="ED107" s="1"/>
      <c r="EE107" s="1"/>
      <c r="EF107" s="1" t="s">
        <v>10</v>
      </c>
      <c r="EG107" s="1"/>
      <c r="EH107" s="1"/>
      <c r="EI107" s="1"/>
      <c r="EJ107" s="1"/>
      <c r="EK107" s="1" t="s">
        <v>10</v>
      </c>
      <c r="EL107" s="1"/>
      <c r="EM107" s="1"/>
      <c r="EN107" s="1"/>
      <c r="EO107" s="1"/>
      <c r="EP107" s="1"/>
      <c r="EQ107" s="1"/>
      <c r="ER107" s="1" t="s">
        <v>10</v>
      </c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 t="s">
        <v>10</v>
      </c>
      <c r="FE107" s="1"/>
      <c r="FF107" s="1"/>
      <c r="FG107" s="1"/>
      <c r="FH107" s="1"/>
      <c r="FI107" s="1"/>
      <c r="FJ107" s="1"/>
      <c r="FK107" s="1"/>
      <c r="FL107" s="1"/>
      <c r="FM107" s="1" t="s">
        <v>10</v>
      </c>
      <c r="FN107" s="1"/>
      <c r="FO107" s="1"/>
      <c r="FP107" s="1"/>
      <c r="FQ107" s="1"/>
      <c r="FR107" s="1" t="s">
        <v>10</v>
      </c>
      <c r="FS107" s="1"/>
      <c r="FT107" s="1"/>
      <c r="FU107" s="1"/>
      <c r="FV107" s="1"/>
      <c r="FW107" s="1"/>
      <c r="FX107" s="1"/>
      <c r="FY107" s="1"/>
      <c r="FZ107" s="1"/>
      <c r="GA107" s="1"/>
      <c r="GB107" s="1" t="s">
        <v>10</v>
      </c>
      <c r="GC107" s="1"/>
      <c r="GD107" s="1"/>
      <c r="GE107" s="1"/>
      <c r="GF107" s="1"/>
      <c r="GG107" s="1"/>
      <c r="GH107" s="1"/>
      <c r="GI107" s="1"/>
      <c r="GJ107" s="1" t="s">
        <v>10</v>
      </c>
      <c r="GK107" s="1"/>
      <c r="GL107" s="1"/>
      <c r="GM107" s="1"/>
      <c r="GN107" s="1"/>
      <c r="GO107" s="1" t="s">
        <v>10</v>
      </c>
      <c r="GP107" s="1" t="s">
        <v>10</v>
      </c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 t="s">
        <v>10</v>
      </c>
      <c r="HK107" s="1"/>
      <c r="HL107" s="1"/>
      <c r="HM107" s="1"/>
      <c r="HN107" s="1"/>
      <c r="HO107" s="1"/>
      <c r="HP107" s="1"/>
      <c r="HQ107" s="1"/>
      <c r="HR107" s="1"/>
      <c r="HS107" s="1"/>
      <c r="HT107" s="1" t="s">
        <v>10</v>
      </c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4" t="s">
        <v>13</v>
      </c>
    </row>
    <row r="108" spans="1:369" x14ac:dyDescent="0.25">
      <c r="A108" s="1">
        <v>104</v>
      </c>
      <c r="B108" s="28" t="s">
        <v>139</v>
      </c>
      <c r="C108" s="30" t="s">
        <v>208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 t="s">
        <v>8</v>
      </c>
      <c r="DE108" s="1" t="s">
        <v>8</v>
      </c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 t="s">
        <v>8</v>
      </c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4" t="s">
        <v>13</v>
      </c>
    </row>
    <row r="109" spans="1:369" x14ac:dyDescent="0.25">
      <c r="A109" s="1">
        <v>105</v>
      </c>
      <c r="B109" s="28" t="s">
        <v>139</v>
      </c>
      <c r="C109" s="30" t="s">
        <v>207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 t="s">
        <v>8</v>
      </c>
      <c r="AZ109" s="1"/>
      <c r="BA109" s="1"/>
      <c r="BB109" s="1" t="s">
        <v>10</v>
      </c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 t="s">
        <v>10</v>
      </c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 t="s">
        <v>173</v>
      </c>
      <c r="FZ109" s="1"/>
      <c r="GA109" s="1"/>
      <c r="GB109" s="1"/>
      <c r="GC109" s="1"/>
      <c r="GD109" s="1"/>
      <c r="GE109" s="1"/>
      <c r="GF109" s="1" t="s">
        <v>8</v>
      </c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4" t="s">
        <v>13</v>
      </c>
    </row>
    <row r="110" spans="1:369" x14ac:dyDescent="0.25">
      <c r="A110" s="1">
        <v>106</v>
      </c>
      <c r="B110" s="28" t="s">
        <v>139</v>
      </c>
      <c r="C110" s="30" t="s">
        <v>206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 t="s">
        <v>10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 t="s">
        <v>10</v>
      </c>
      <c r="AU110" s="1"/>
      <c r="AV110" s="1" t="s">
        <v>10</v>
      </c>
      <c r="AW110" s="1"/>
      <c r="AX110" s="1"/>
      <c r="AY110" s="1"/>
      <c r="AZ110" s="1" t="s">
        <v>6</v>
      </c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 t="s">
        <v>6</v>
      </c>
      <c r="CW110" s="1" t="s">
        <v>8</v>
      </c>
      <c r="CX110" s="1"/>
      <c r="CY110" s="1"/>
      <c r="CZ110" s="1"/>
      <c r="DA110" s="1"/>
      <c r="DB110" s="1"/>
      <c r="DC110" s="1"/>
      <c r="DD110" s="1"/>
      <c r="DE110" s="1"/>
      <c r="DF110" s="1" t="s">
        <v>8</v>
      </c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 t="s">
        <v>10</v>
      </c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10</v>
      </c>
      <c r="EC110" s="1"/>
      <c r="ED110" s="1"/>
      <c r="EE110" s="1" t="s">
        <v>10</v>
      </c>
      <c r="EF110" s="1" t="s">
        <v>10</v>
      </c>
      <c r="EG110" s="1" t="s">
        <v>8</v>
      </c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 t="s">
        <v>10</v>
      </c>
      <c r="ET110" s="1"/>
      <c r="EU110" s="1"/>
      <c r="EV110" s="1"/>
      <c r="EW110" s="1"/>
      <c r="EX110" s="1"/>
      <c r="EY110" s="1"/>
      <c r="EZ110" s="1"/>
      <c r="FA110" s="1"/>
      <c r="FB110" s="1"/>
      <c r="FC110" s="1" t="s">
        <v>8</v>
      </c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 t="s">
        <v>10</v>
      </c>
      <c r="GQ110" s="1"/>
      <c r="GR110" s="1"/>
      <c r="GS110" s="1" t="s">
        <v>8</v>
      </c>
      <c r="GT110" s="1" t="s">
        <v>8</v>
      </c>
      <c r="GU110" s="1" t="s">
        <v>8</v>
      </c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 t="s">
        <v>10</v>
      </c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 t="s">
        <v>8</v>
      </c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4" t="s">
        <v>13</v>
      </c>
    </row>
    <row r="111" spans="1:369" x14ac:dyDescent="0.25">
      <c r="A111" s="1">
        <v>107</v>
      </c>
      <c r="B111" s="28" t="s">
        <v>229</v>
      </c>
      <c r="C111" s="30" t="s">
        <v>205</v>
      </c>
      <c r="D111" s="1"/>
      <c r="E111" s="1" t="s">
        <v>8</v>
      </c>
      <c r="F111" s="1" t="s">
        <v>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 t="s">
        <v>8</v>
      </c>
      <c r="AP111" s="1" t="s">
        <v>8</v>
      </c>
      <c r="AQ111" s="1" t="s">
        <v>8</v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 t="s">
        <v>10</v>
      </c>
      <c r="BN111" s="1"/>
      <c r="BO111" s="1"/>
      <c r="BP111" s="1"/>
      <c r="BQ111" s="1"/>
      <c r="BR111" s="1"/>
      <c r="BS111" s="1"/>
      <c r="BT111" s="1"/>
      <c r="BU111" s="1"/>
      <c r="BV111" s="1" t="s">
        <v>10</v>
      </c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 t="s">
        <v>8</v>
      </c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 t="s">
        <v>8</v>
      </c>
      <c r="DL111" s="1" t="s">
        <v>8</v>
      </c>
      <c r="DM111" s="1" t="s">
        <v>8</v>
      </c>
      <c r="DN111" s="1" t="s">
        <v>8</v>
      </c>
      <c r="DO111" s="1"/>
      <c r="DP111" s="1" t="s">
        <v>8</v>
      </c>
      <c r="DQ111" s="1" t="s">
        <v>8</v>
      </c>
      <c r="DR111" s="1" t="s">
        <v>8</v>
      </c>
      <c r="DS111" s="1" t="s">
        <v>8</v>
      </c>
      <c r="DT111" s="1" t="s">
        <v>8</v>
      </c>
      <c r="DU111" s="1" t="s">
        <v>8</v>
      </c>
      <c r="DV111" s="1"/>
      <c r="DW111" s="1" t="s">
        <v>8</v>
      </c>
      <c r="DX111" s="1" t="s">
        <v>8</v>
      </c>
      <c r="DY111" s="1" t="s">
        <v>8</v>
      </c>
      <c r="DZ111" s="1" t="s">
        <v>8</v>
      </c>
      <c r="EA111" s="1" t="s">
        <v>8</v>
      </c>
      <c r="EB111" s="1" t="s">
        <v>8</v>
      </c>
      <c r="EC111" s="1"/>
      <c r="ED111" s="1" t="s">
        <v>8</v>
      </c>
      <c r="EE111" s="1" t="s">
        <v>8</v>
      </c>
      <c r="EF111" s="1" t="s">
        <v>8</v>
      </c>
      <c r="EG111" s="1" t="s">
        <v>8</v>
      </c>
      <c r="EH111" s="1" t="s">
        <v>8</v>
      </c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4" t="s">
        <v>13</v>
      </c>
    </row>
    <row r="112" spans="1:369" x14ac:dyDescent="0.25">
      <c r="A112" s="1">
        <v>108</v>
      </c>
      <c r="B112" s="28" t="s">
        <v>139</v>
      </c>
      <c r="C112" s="30" t="s">
        <v>204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 t="s">
        <v>10</v>
      </c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 t="s">
        <v>10</v>
      </c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 t="s">
        <v>8</v>
      </c>
      <c r="FJ112" s="1" t="s">
        <v>8</v>
      </c>
      <c r="FK112" s="1" t="s">
        <v>8</v>
      </c>
      <c r="FL112" s="1" t="s">
        <v>8</v>
      </c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4" t="s">
        <v>13</v>
      </c>
    </row>
    <row r="113" spans="1:369" x14ac:dyDescent="0.25">
      <c r="A113" s="1">
        <v>109</v>
      </c>
      <c r="B113" s="28" t="s">
        <v>139</v>
      </c>
      <c r="C113" s="30" t="s">
        <v>209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 t="s">
        <v>10</v>
      </c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 t="s">
        <v>10</v>
      </c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 t="s">
        <v>8</v>
      </c>
      <c r="FZ113" s="1" t="s">
        <v>8</v>
      </c>
      <c r="GA113" s="1"/>
      <c r="GB113" s="1"/>
      <c r="GC113" s="1"/>
      <c r="GD113" s="1" t="s">
        <v>8</v>
      </c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 t="s">
        <v>10</v>
      </c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4" t="s">
        <v>13</v>
      </c>
    </row>
    <row r="114" spans="1:369" x14ac:dyDescent="0.25">
      <c r="A114" s="1">
        <v>110</v>
      </c>
      <c r="B114" s="28" t="s">
        <v>139</v>
      </c>
      <c r="C114" s="30" t="s">
        <v>210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 t="s">
        <v>8</v>
      </c>
      <c r="CK114" s="1" t="s">
        <v>8</v>
      </c>
      <c r="CL114" s="1" t="s">
        <v>8</v>
      </c>
      <c r="CM114" s="1"/>
      <c r="CN114" s="1"/>
      <c r="CO114" s="1"/>
      <c r="CP114" s="1"/>
      <c r="CQ114" s="1"/>
      <c r="CR114" s="1"/>
      <c r="CS114" s="1" t="s">
        <v>8</v>
      </c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 t="s">
        <v>10</v>
      </c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 t="s">
        <v>8</v>
      </c>
      <c r="GN114" s="1"/>
      <c r="GO114" s="1"/>
      <c r="GP114" s="1" t="s">
        <v>10</v>
      </c>
      <c r="GQ114" s="1"/>
      <c r="GR114" s="1"/>
      <c r="GS114" s="1"/>
      <c r="GT114" s="1" t="s">
        <v>10</v>
      </c>
      <c r="GU114" s="1"/>
      <c r="GV114" s="1"/>
      <c r="GW114" s="1"/>
      <c r="GX114" s="1"/>
      <c r="GY114" s="1"/>
      <c r="GZ114" s="1" t="s">
        <v>8</v>
      </c>
      <c r="HA114" s="1" t="s">
        <v>10</v>
      </c>
      <c r="HB114" s="1"/>
      <c r="HC114" s="1"/>
      <c r="HD114" s="1"/>
      <c r="HE114" s="1"/>
      <c r="HF114" s="1"/>
      <c r="HG114" s="1"/>
      <c r="HH114" s="1" t="s">
        <v>8</v>
      </c>
      <c r="HI114" s="1"/>
      <c r="HJ114" s="1"/>
      <c r="HK114" s="1" t="s">
        <v>10</v>
      </c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 t="s">
        <v>8</v>
      </c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4" t="s">
        <v>13</v>
      </c>
    </row>
    <row r="115" spans="1:369" x14ac:dyDescent="0.25">
      <c r="A115" s="1">
        <v>111</v>
      </c>
      <c r="B115" s="28" t="s">
        <v>139</v>
      </c>
      <c r="C115" s="30" t="s">
        <v>211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 t="s">
        <v>10</v>
      </c>
      <c r="BS115" s="1"/>
      <c r="BT115" s="1"/>
      <c r="BU115" s="1"/>
      <c r="BV115" s="1"/>
      <c r="BW115" s="1" t="s">
        <v>10</v>
      </c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 t="s">
        <v>8</v>
      </c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 t="s">
        <v>8</v>
      </c>
      <c r="GE115" s="1" t="s">
        <v>8</v>
      </c>
      <c r="GF115" s="1" t="s">
        <v>8</v>
      </c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 t="s">
        <v>8</v>
      </c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4" t="s">
        <v>13</v>
      </c>
    </row>
    <row r="116" spans="1:369" x14ac:dyDescent="0.25">
      <c r="A116" s="1">
        <v>112</v>
      </c>
      <c r="B116" s="28" t="s">
        <v>139</v>
      </c>
      <c r="C116" s="30" t="s">
        <v>212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 t="s">
        <v>8</v>
      </c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 t="s">
        <v>8</v>
      </c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 t="s">
        <v>6</v>
      </c>
      <c r="HM116" s="1" t="s">
        <v>6</v>
      </c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 t="s">
        <v>8</v>
      </c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 t="s">
        <v>8</v>
      </c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4" t="s">
        <v>13</v>
      </c>
    </row>
    <row r="117" spans="1:369" x14ac:dyDescent="0.25">
      <c r="A117" s="1">
        <v>113</v>
      </c>
      <c r="B117" s="28" t="s">
        <v>139</v>
      </c>
      <c r="C117" s="30" t="s">
        <v>213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 t="s">
        <v>8</v>
      </c>
      <c r="FS117" s="1" t="s">
        <v>8</v>
      </c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4" t="s">
        <v>13</v>
      </c>
    </row>
    <row r="118" spans="1:369" x14ac:dyDescent="0.25">
      <c r="A118" s="1">
        <v>114</v>
      </c>
      <c r="B118" s="28" t="s">
        <v>229</v>
      </c>
      <c r="C118" s="30" t="s">
        <v>214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 t="s">
        <v>10</v>
      </c>
      <c r="AF118" s="1" t="s">
        <v>10</v>
      </c>
      <c r="AG118" s="1" t="s">
        <v>10</v>
      </c>
      <c r="AH118" s="1" t="s">
        <v>10</v>
      </c>
      <c r="AI118" s="1"/>
      <c r="AJ118" s="1" t="s">
        <v>10</v>
      </c>
      <c r="AK118" s="1"/>
      <c r="AL118" s="1"/>
      <c r="AM118" s="1"/>
      <c r="AN118" s="1"/>
      <c r="AO118" s="1"/>
      <c r="AP118" s="1" t="s">
        <v>10</v>
      </c>
      <c r="AQ118" s="1" t="s">
        <v>10</v>
      </c>
      <c r="AR118" s="1"/>
      <c r="AS118" s="1"/>
      <c r="AT118" s="1" t="s">
        <v>10</v>
      </c>
      <c r="AU118" s="1" t="s">
        <v>10</v>
      </c>
      <c r="AV118" s="1"/>
      <c r="AW118" s="1"/>
      <c r="AX118" s="1"/>
      <c r="AY118" s="1" t="s">
        <v>8</v>
      </c>
      <c r="AZ118" s="1" t="s">
        <v>8</v>
      </c>
      <c r="BA118" s="1" t="s">
        <v>8</v>
      </c>
      <c r="BB118" s="1"/>
      <c r="BC118" s="1"/>
      <c r="BD118" s="1"/>
      <c r="BE118" s="1"/>
      <c r="BF118" s="1"/>
      <c r="BG118" s="1"/>
      <c r="BH118" s="1" t="s">
        <v>10</v>
      </c>
      <c r="BI118" s="1"/>
      <c r="BJ118" s="1"/>
      <c r="BK118" s="1"/>
      <c r="BL118" s="1"/>
      <c r="BM118" s="1"/>
      <c r="BN118" s="1" t="s">
        <v>10</v>
      </c>
      <c r="BO118" s="1"/>
      <c r="BP118" s="1"/>
      <c r="BQ118" s="1"/>
      <c r="BR118" s="1"/>
      <c r="BS118" s="1"/>
      <c r="BT118" s="1"/>
      <c r="BU118" s="1" t="s">
        <v>10</v>
      </c>
      <c r="BV118" s="1"/>
      <c r="BW118" s="1" t="s">
        <v>10</v>
      </c>
      <c r="BX118" s="1" t="s">
        <v>10</v>
      </c>
      <c r="BY118" s="1"/>
      <c r="BZ118" s="1" t="s">
        <v>10</v>
      </c>
      <c r="CA118" s="1" t="s">
        <v>10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 t="s">
        <v>8</v>
      </c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 t="s">
        <v>8</v>
      </c>
      <c r="DV118" s="1"/>
      <c r="DW118" s="1"/>
      <c r="DX118" s="1"/>
      <c r="DY118" s="1"/>
      <c r="DZ118" s="1"/>
      <c r="EA118" s="1" t="s">
        <v>10</v>
      </c>
      <c r="EB118" s="1" t="s">
        <v>10</v>
      </c>
      <c r="EC118" s="1"/>
      <c r="ED118" s="1"/>
      <c r="EE118" s="1" t="s">
        <v>10</v>
      </c>
      <c r="EF118" s="1" t="s">
        <v>10</v>
      </c>
      <c r="EG118" s="1"/>
      <c r="EH118" s="1"/>
      <c r="EI118" s="1" t="s">
        <v>10</v>
      </c>
      <c r="EJ118" s="1"/>
      <c r="EK118" s="1"/>
      <c r="EL118" s="1"/>
      <c r="EM118" s="1"/>
      <c r="EN118" s="1"/>
      <c r="EO118" s="1"/>
      <c r="EP118" s="1" t="s">
        <v>10</v>
      </c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 t="s">
        <v>10</v>
      </c>
      <c r="FB118" s="1"/>
      <c r="FC118" s="1"/>
      <c r="FD118" s="1"/>
      <c r="FE118" s="1"/>
      <c r="FF118" s="1"/>
      <c r="FG118" s="1"/>
      <c r="FH118" s="1"/>
      <c r="FI118" s="1"/>
      <c r="FJ118" s="1"/>
      <c r="FK118" s="1" t="s">
        <v>8</v>
      </c>
      <c r="FL118" s="1"/>
      <c r="FM118" s="1"/>
      <c r="FN118" s="1" t="s">
        <v>10</v>
      </c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 t="s">
        <v>10</v>
      </c>
      <c r="GE118" s="1" t="s">
        <v>10</v>
      </c>
      <c r="GF118" s="1"/>
      <c r="GG118" s="1"/>
      <c r="GH118" s="1"/>
      <c r="GI118" s="1"/>
      <c r="GJ118" s="1"/>
      <c r="GK118" s="1"/>
      <c r="GL118" s="1"/>
      <c r="GM118" s="1"/>
      <c r="GN118" s="1"/>
      <c r="GO118" s="1" t="s">
        <v>8</v>
      </c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 t="s">
        <v>10</v>
      </c>
      <c r="HS118" s="1"/>
      <c r="HT118" s="1" t="s">
        <v>10</v>
      </c>
      <c r="HU118" s="1"/>
      <c r="HV118" s="1"/>
      <c r="HW118" s="1"/>
      <c r="HX118" s="1"/>
      <c r="HY118" s="1" t="s">
        <v>10</v>
      </c>
      <c r="HZ118" s="1"/>
      <c r="IA118" s="1" t="s">
        <v>10</v>
      </c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 t="s">
        <v>8</v>
      </c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 t="s">
        <v>8</v>
      </c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4" t="s">
        <v>13</v>
      </c>
    </row>
    <row r="119" spans="1:369" x14ac:dyDescent="0.25">
      <c r="A119" s="1">
        <v>115</v>
      </c>
      <c r="B119" s="28" t="s">
        <v>139</v>
      </c>
      <c r="C119" s="30" t="s">
        <v>124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 t="s">
        <v>8</v>
      </c>
      <c r="AR119" s="1" t="s">
        <v>8</v>
      </c>
      <c r="AS119" s="1" t="s">
        <v>8</v>
      </c>
      <c r="AT119" s="1" t="s">
        <v>8</v>
      </c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 t="s">
        <v>8</v>
      </c>
      <c r="JL119" s="1" t="s">
        <v>8</v>
      </c>
      <c r="JM119" s="1" t="s">
        <v>8</v>
      </c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4" t="s">
        <v>13</v>
      </c>
    </row>
    <row r="120" spans="1:369" x14ac:dyDescent="0.25">
      <c r="A120" s="1">
        <v>116</v>
      </c>
      <c r="B120" s="28" t="s">
        <v>139</v>
      </c>
      <c r="C120" s="30" t="s">
        <v>215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 t="s">
        <v>10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 t="s">
        <v>8</v>
      </c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4" t="s">
        <v>13</v>
      </c>
    </row>
    <row r="121" spans="1:369" x14ac:dyDescent="0.25">
      <c r="A121" s="1">
        <v>117</v>
      </c>
      <c r="B121" s="28" t="s">
        <v>139</v>
      </c>
      <c r="C121" s="30" t="s">
        <v>125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 t="s">
        <v>10</v>
      </c>
      <c r="CC121" s="1"/>
      <c r="CD121" s="1"/>
      <c r="CE121" s="1"/>
      <c r="CF121" s="1"/>
      <c r="CG121" s="1"/>
      <c r="CH121" s="1"/>
      <c r="CI121" s="1"/>
      <c r="CJ121" s="1" t="s">
        <v>8</v>
      </c>
      <c r="CK121" s="1" t="s">
        <v>8</v>
      </c>
      <c r="CL121" s="1" t="s">
        <v>8</v>
      </c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 t="s">
        <v>10</v>
      </c>
      <c r="EA121" s="1"/>
      <c r="EB121" s="1"/>
      <c r="EC121" s="1"/>
      <c r="ED121" s="1" t="s">
        <v>10</v>
      </c>
      <c r="EE121" s="1" t="s">
        <v>10</v>
      </c>
      <c r="EF121" s="1"/>
      <c r="EG121" s="1"/>
      <c r="EH121" s="1"/>
      <c r="EI121" s="1"/>
      <c r="EJ121" s="1"/>
      <c r="EK121" s="1"/>
      <c r="EL121" s="1"/>
      <c r="EM121" s="1"/>
      <c r="EN121" s="1" t="s">
        <v>10</v>
      </c>
      <c r="EO121" s="1" t="s">
        <v>10</v>
      </c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 t="s">
        <v>10</v>
      </c>
      <c r="FN121" s="1"/>
      <c r="FO121" s="1"/>
      <c r="FP121" s="1" t="s">
        <v>10</v>
      </c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 t="s">
        <v>10</v>
      </c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 t="s">
        <v>10</v>
      </c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 t="s">
        <v>8</v>
      </c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 t="s">
        <v>8</v>
      </c>
      <c r="JR121" s="1"/>
      <c r="JS121" s="1"/>
      <c r="JT121" s="1"/>
      <c r="JU121" s="1" t="s">
        <v>8</v>
      </c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4" t="s">
        <v>13</v>
      </c>
    </row>
    <row r="122" spans="1:369" x14ac:dyDescent="0.25">
      <c r="A122" s="1">
        <v>118</v>
      </c>
      <c r="B122" s="28" t="s">
        <v>229</v>
      </c>
      <c r="C122" s="30" t="s">
        <v>200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 t="s">
        <v>10</v>
      </c>
      <c r="AQ122" s="1"/>
      <c r="AR122" s="1"/>
      <c r="AS122" s="1"/>
      <c r="AT122" s="1"/>
      <c r="AU122" s="1"/>
      <c r="AV122" s="1"/>
      <c r="AW122" s="1" t="s">
        <v>8</v>
      </c>
      <c r="AX122" s="1" t="s">
        <v>8</v>
      </c>
      <c r="AY122" s="1"/>
      <c r="AZ122" s="1"/>
      <c r="BA122" s="1" t="s">
        <v>10</v>
      </c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 t="s">
        <v>8</v>
      </c>
      <c r="CQ122" s="1" t="s">
        <v>8</v>
      </c>
      <c r="CR122" s="1" t="s">
        <v>8</v>
      </c>
      <c r="CS122" s="1" t="s">
        <v>8</v>
      </c>
      <c r="CT122" s="1" t="s">
        <v>8</v>
      </c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 t="s">
        <v>8</v>
      </c>
      <c r="DH122" s="1"/>
      <c r="DI122" s="1"/>
      <c r="DJ122" s="1"/>
      <c r="DK122" s="1"/>
      <c r="DL122" s="1"/>
      <c r="DM122" s="1"/>
      <c r="DN122" s="1"/>
      <c r="DO122" s="1"/>
      <c r="DP122" s="1" t="s">
        <v>10</v>
      </c>
      <c r="DQ122" s="1"/>
      <c r="DR122" s="1"/>
      <c r="DS122" s="1"/>
      <c r="DT122" s="1"/>
      <c r="DU122" s="1" t="s">
        <v>10</v>
      </c>
      <c r="DV122" s="1" t="s">
        <v>10</v>
      </c>
      <c r="DW122" s="1"/>
      <c r="DX122" s="1"/>
      <c r="DY122" s="1"/>
      <c r="DZ122" s="1"/>
      <c r="EA122" s="1" t="s">
        <v>8</v>
      </c>
      <c r="EB122" s="1" t="s">
        <v>6</v>
      </c>
      <c r="EC122" s="1" t="s">
        <v>10</v>
      </c>
      <c r="ED122" s="1"/>
      <c r="EE122" s="1"/>
      <c r="EF122" s="1"/>
      <c r="EG122" s="1"/>
      <c r="EH122" s="1"/>
      <c r="EI122" s="1"/>
      <c r="EJ122" s="1" t="s">
        <v>10</v>
      </c>
      <c r="EK122" s="1"/>
      <c r="EL122" s="1"/>
      <c r="EM122" s="1"/>
      <c r="EN122" s="1"/>
      <c r="EO122" s="1" t="s">
        <v>10</v>
      </c>
      <c r="EP122" s="1" t="s">
        <v>10</v>
      </c>
      <c r="EQ122" s="1" t="s">
        <v>10</v>
      </c>
      <c r="ER122" s="1"/>
      <c r="ES122" s="1"/>
      <c r="ET122" s="1"/>
      <c r="EU122" s="1"/>
      <c r="EV122" s="1"/>
      <c r="EW122" s="1"/>
      <c r="EX122" s="1" t="s">
        <v>10</v>
      </c>
      <c r="EY122" s="1"/>
      <c r="EZ122" s="1"/>
      <c r="FA122" s="1"/>
      <c r="FB122" s="1"/>
      <c r="FC122" s="1" t="s">
        <v>10</v>
      </c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 t="s">
        <v>10</v>
      </c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 t="s">
        <v>8</v>
      </c>
      <c r="JP122" s="1" t="s">
        <v>8</v>
      </c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4" t="s">
        <v>13</v>
      </c>
    </row>
    <row r="123" spans="1:369" x14ac:dyDescent="0.25">
      <c r="A123" s="1">
        <v>119</v>
      </c>
      <c r="B123" s="28" t="s">
        <v>229</v>
      </c>
      <c r="C123" s="30" t="s">
        <v>126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 t="s">
        <v>10</v>
      </c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 t="s">
        <v>8</v>
      </c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 t="s">
        <v>8</v>
      </c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 t="s">
        <v>8</v>
      </c>
      <c r="DX123" s="1" t="s">
        <v>8</v>
      </c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 t="s">
        <v>10</v>
      </c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 t="s">
        <v>8</v>
      </c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 t="s">
        <v>8</v>
      </c>
      <c r="GR123" s="1" t="s">
        <v>8</v>
      </c>
      <c r="GS123" s="1" t="s">
        <v>8</v>
      </c>
      <c r="GT123" s="1"/>
      <c r="GU123" s="1"/>
      <c r="GV123" s="1"/>
      <c r="GW123" s="1" t="s">
        <v>8</v>
      </c>
      <c r="GX123" s="1"/>
      <c r="GY123" s="1"/>
      <c r="GZ123" s="1"/>
      <c r="HA123" s="1"/>
      <c r="HB123" s="1"/>
      <c r="HC123" s="1"/>
      <c r="HD123" s="1"/>
      <c r="HE123" s="1"/>
      <c r="HF123" s="1"/>
      <c r="HG123" s="1" t="s">
        <v>8</v>
      </c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 t="s">
        <v>8</v>
      </c>
      <c r="IZ123" s="1" t="s">
        <v>8</v>
      </c>
      <c r="JA123" s="1"/>
      <c r="JB123" s="1"/>
      <c r="JC123" s="1"/>
      <c r="JD123" s="1"/>
      <c r="JE123" s="1"/>
      <c r="JF123" s="1"/>
      <c r="JG123" s="1" t="s">
        <v>8</v>
      </c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4" t="s">
        <v>13</v>
      </c>
    </row>
    <row r="124" spans="1:369" x14ac:dyDescent="0.25">
      <c r="A124" s="1">
        <v>120</v>
      </c>
      <c r="B124" s="28" t="s">
        <v>139</v>
      </c>
      <c r="C124" s="30" t="s">
        <v>127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 t="s">
        <v>8</v>
      </c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4" t="s">
        <v>13</v>
      </c>
    </row>
    <row r="125" spans="1:369" x14ac:dyDescent="0.25">
      <c r="A125" s="1">
        <v>121</v>
      </c>
      <c r="B125" s="28" t="s">
        <v>139</v>
      </c>
      <c r="C125" s="54" t="s">
        <v>102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4" t="s">
        <v>13</v>
      </c>
    </row>
    <row r="126" spans="1:369" x14ac:dyDescent="0.25">
      <c r="A126" s="1">
        <v>122</v>
      </c>
      <c r="B126" s="28" t="s">
        <v>139</v>
      </c>
      <c r="C126" s="30" t="s">
        <v>216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 t="s">
        <v>8</v>
      </c>
      <c r="FA126" s="1"/>
      <c r="FB126" s="1"/>
      <c r="FC126" s="1" t="s">
        <v>8</v>
      </c>
      <c r="FD126" s="1" t="s">
        <v>8</v>
      </c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 t="s">
        <v>8</v>
      </c>
      <c r="GE126" s="1" t="s">
        <v>8</v>
      </c>
      <c r="GF126" s="1" t="s">
        <v>8</v>
      </c>
      <c r="GG126" s="1"/>
      <c r="GH126" s="1"/>
      <c r="GI126" s="1"/>
      <c r="GJ126" s="1"/>
      <c r="GK126" s="1"/>
      <c r="GL126" s="1"/>
      <c r="GM126" s="1"/>
      <c r="GN126" s="1" t="s">
        <v>8</v>
      </c>
      <c r="GO126" s="1" t="s">
        <v>8</v>
      </c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4" t="s">
        <v>13</v>
      </c>
    </row>
    <row r="127" spans="1:369" x14ac:dyDescent="0.25">
      <c r="A127" s="1">
        <v>123</v>
      </c>
      <c r="B127" s="28" t="s">
        <v>139</v>
      </c>
      <c r="C127" s="54" t="s">
        <v>128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 t="s">
        <v>10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4" t="s">
        <v>13</v>
      </c>
    </row>
    <row r="128" spans="1:369" x14ac:dyDescent="0.25">
      <c r="A128" s="1">
        <v>124</v>
      </c>
      <c r="B128" s="28" t="s">
        <v>139</v>
      </c>
      <c r="C128" s="30" t="s">
        <v>217</v>
      </c>
      <c r="D128" s="1" t="s">
        <v>8</v>
      </c>
      <c r="E128" s="1" t="s">
        <v>8</v>
      </c>
      <c r="F128" s="1" t="s">
        <v>8</v>
      </c>
      <c r="G128" s="1" t="s">
        <v>8</v>
      </c>
      <c r="H128" s="1" t="s">
        <v>8</v>
      </c>
      <c r="I128" s="1" t="s">
        <v>8</v>
      </c>
      <c r="J128" s="1" t="s">
        <v>8</v>
      </c>
      <c r="K128" s="1" t="s">
        <v>8</v>
      </c>
      <c r="L128" s="1" t="s">
        <v>8</v>
      </c>
      <c r="M128" s="1" t="s">
        <v>8</v>
      </c>
      <c r="N128" s="1" t="s">
        <v>8</v>
      </c>
      <c r="O128" s="1" t="s">
        <v>8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 t="s">
        <v>10</v>
      </c>
      <c r="EV128" s="1"/>
      <c r="EW128" s="1"/>
      <c r="EX128" s="1"/>
      <c r="EY128" s="1"/>
      <c r="EZ128" s="1"/>
      <c r="FA128" s="1"/>
      <c r="FB128" s="1"/>
      <c r="FC128" s="1" t="s">
        <v>8</v>
      </c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4" t="s">
        <v>13</v>
      </c>
    </row>
    <row r="129" spans="1:369" x14ac:dyDescent="0.25">
      <c r="A129" s="1">
        <v>125</v>
      </c>
      <c r="B129" s="28" t="s">
        <v>139</v>
      </c>
      <c r="C129" s="54" t="s">
        <v>129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4" t="s">
        <v>13</v>
      </c>
    </row>
    <row r="130" spans="1:369" x14ac:dyDescent="0.25">
      <c r="A130" s="1">
        <v>126</v>
      </c>
      <c r="B130" s="28" t="s">
        <v>139</v>
      </c>
      <c r="C130" s="54" t="s">
        <v>130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4" t="s">
        <v>13</v>
      </c>
    </row>
    <row r="131" spans="1:369" x14ac:dyDescent="0.25">
      <c r="A131" s="1">
        <v>127</v>
      </c>
      <c r="B131" s="28" t="s">
        <v>139</v>
      </c>
      <c r="C131" s="54" t="s">
        <v>131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 t="s">
        <v>10</v>
      </c>
      <c r="AG131" s="1"/>
      <c r="AH131" s="1"/>
      <c r="AI131" s="1"/>
      <c r="AJ131" s="1"/>
      <c r="AK131" s="1" t="s">
        <v>10</v>
      </c>
      <c r="AL131" s="1"/>
      <c r="AM131" s="1"/>
      <c r="AN131" s="1" t="s">
        <v>10</v>
      </c>
      <c r="AO131" s="1"/>
      <c r="AP131" s="1"/>
      <c r="AQ131" s="1" t="s">
        <v>10</v>
      </c>
      <c r="AR131" s="1"/>
      <c r="AS131" s="1"/>
      <c r="AT131" s="1" t="s">
        <v>10</v>
      </c>
      <c r="AU131" s="1" t="s">
        <v>10</v>
      </c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 t="s">
        <v>10</v>
      </c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 t="s">
        <v>10</v>
      </c>
      <c r="BS131" s="1"/>
      <c r="BT131" s="1"/>
      <c r="BU131" s="1"/>
      <c r="BV131" s="1"/>
      <c r="BW131" s="1"/>
      <c r="BX131" s="1"/>
      <c r="BY131" s="1"/>
      <c r="BZ131" s="1"/>
      <c r="CA131" s="1" t="s">
        <v>10</v>
      </c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 t="s">
        <v>10</v>
      </c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4" t="s">
        <v>13</v>
      </c>
    </row>
    <row r="132" spans="1:369" x14ac:dyDescent="0.25">
      <c r="A132" s="1">
        <v>128</v>
      </c>
      <c r="B132" s="28" t="s">
        <v>139</v>
      </c>
      <c r="C132" s="30" t="s">
        <v>218</v>
      </c>
      <c r="D132" s="1" t="s">
        <v>8</v>
      </c>
      <c r="E132" s="1" t="s">
        <v>8</v>
      </c>
      <c r="F132" s="1" t="s">
        <v>8</v>
      </c>
      <c r="G132" s="1" t="s">
        <v>8</v>
      </c>
      <c r="H132" s="1" t="s">
        <v>8</v>
      </c>
      <c r="I132" s="1" t="s">
        <v>8</v>
      </c>
      <c r="J132" s="1" t="s">
        <v>8</v>
      </c>
      <c r="K132" s="1" t="s">
        <v>8</v>
      </c>
      <c r="L132" s="1" t="s">
        <v>8</v>
      </c>
      <c r="M132" s="1" t="s">
        <v>8</v>
      </c>
      <c r="N132" s="1" t="s">
        <v>8</v>
      </c>
      <c r="O132" s="1" t="s">
        <v>8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10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 t="s">
        <v>10</v>
      </c>
      <c r="BP132" s="1"/>
      <c r="BQ132" s="1"/>
      <c r="BR132" s="1" t="s">
        <v>10</v>
      </c>
      <c r="BS132" s="1"/>
      <c r="BT132" s="1" t="s">
        <v>10</v>
      </c>
      <c r="BU132" s="1" t="s">
        <v>10</v>
      </c>
      <c r="BV132" s="1"/>
      <c r="BW132" s="1"/>
      <c r="BX132" s="1"/>
      <c r="BY132" s="1"/>
      <c r="BZ132" s="1" t="s">
        <v>10</v>
      </c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 t="s">
        <v>10</v>
      </c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4" t="s">
        <v>13</v>
      </c>
    </row>
    <row r="133" spans="1:369" x14ac:dyDescent="0.25">
      <c r="A133" s="1">
        <v>129</v>
      </c>
      <c r="B133" s="28" t="s">
        <v>139</v>
      </c>
      <c r="C133" s="53" t="s">
        <v>183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 t="s">
        <v>10</v>
      </c>
      <c r="BG133" s="1"/>
      <c r="BH133" s="1"/>
      <c r="BI133" s="1"/>
      <c r="BJ133" s="1"/>
      <c r="BK133" s="1"/>
      <c r="BL133" s="1"/>
      <c r="BM133" s="1"/>
      <c r="BN133" s="1"/>
      <c r="BO133" s="1" t="s">
        <v>10</v>
      </c>
      <c r="BP133" s="1"/>
      <c r="BQ133" s="1"/>
      <c r="BR133" s="1" t="s">
        <v>10</v>
      </c>
      <c r="BS133" s="1"/>
      <c r="BT133" s="1" t="s">
        <v>10</v>
      </c>
      <c r="BU133" s="1" t="s">
        <v>10</v>
      </c>
      <c r="BV133" s="1"/>
      <c r="BW133" s="1"/>
      <c r="BX133" s="1" t="s">
        <v>10</v>
      </c>
      <c r="BY133" s="1"/>
      <c r="BZ133" s="1" t="s">
        <v>10</v>
      </c>
      <c r="CA133" s="1" t="s">
        <v>10</v>
      </c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4" t="s">
        <v>13</v>
      </c>
    </row>
    <row r="134" spans="1:369" x14ac:dyDescent="0.25">
      <c r="A134" s="1">
        <v>130</v>
      </c>
      <c r="B134" s="28" t="s">
        <v>139</v>
      </c>
      <c r="C134" s="53" t="s">
        <v>184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 t="s">
        <v>10</v>
      </c>
      <c r="DQ134" s="1"/>
      <c r="DR134" s="1"/>
      <c r="DS134" s="1"/>
      <c r="DT134" s="1" t="s">
        <v>10</v>
      </c>
      <c r="DU134" s="1" t="s">
        <v>10</v>
      </c>
      <c r="DV134" s="1" t="s">
        <v>10</v>
      </c>
      <c r="DW134" s="1"/>
      <c r="DX134" s="1"/>
      <c r="DY134" s="1"/>
      <c r="DZ134" s="1"/>
      <c r="EA134" s="1"/>
      <c r="EB134" s="1" t="s">
        <v>10</v>
      </c>
      <c r="EC134" s="1" t="s">
        <v>10</v>
      </c>
      <c r="ED134" s="1"/>
      <c r="EE134" s="1"/>
      <c r="EF134" s="1"/>
      <c r="EG134" s="1"/>
      <c r="EH134" s="1" t="s">
        <v>10</v>
      </c>
      <c r="EI134" s="1" t="s">
        <v>10</v>
      </c>
      <c r="EJ134" s="1"/>
      <c r="EK134" s="1"/>
      <c r="EL134" s="1"/>
      <c r="EM134" s="1"/>
      <c r="EN134" s="1" t="s">
        <v>8</v>
      </c>
      <c r="EO134" s="1" t="s">
        <v>8</v>
      </c>
      <c r="EP134" s="1" t="s">
        <v>8</v>
      </c>
      <c r="EQ134" s="1" t="s">
        <v>8</v>
      </c>
      <c r="ER134" s="1" t="s">
        <v>8</v>
      </c>
      <c r="ES134" s="1" t="s">
        <v>8</v>
      </c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4" t="s">
        <v>13</v>
      </c>
    </row>
    <row r="135" spans="1:369" x14ac:dyDescent="0.25">
      <c r="A135" s="1">
        <v>131</v>
      </c>
      <c r="B135" s="28" t="s">
        <v>229</v>
      </c>
      <c r="C135" s="10" t="s">
        <v>185</v>
      </c>
      <c r="D135" s="1" t="s">
        <v>8</v>
      </c>
      <c r="E135" s="1" t="s">
        <v>8</v>
      </c>
      <c r="F135" s="1" t="s">
        <v>8</v>
      </c>
      <c r="G135" s="1" t="s">
        <v>8</v>
      </c>
      <c r="H135" s="1" t="s">
        <v>8</v>
      </c>
      <c r="I135" s="1" t="s">
        <v>8</v>
      </c>
      <c r="J135" s="1" t="s">
        <v>8</v>
      </c>
      <c r="K135" s="1" t="s">
        <v>8</v>
      </c>
      <c r="L135" s="1" t="s">
        <v>8</v>
      </c>
      <c r="M135" s="1" t="s">
        <v>8</v>
      </c>
      <c r="N135" s="1" t="s">
        <v>8</v>
      </c>
      <c r="O135" s="1" t="s">
        <v>8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 t="s">
        <v>10</v>
      </c>
      <c r="DT135" s="1" t="s">
        <v>10</v>
      </c>
      <c r="DU135" s="1" t="s">
        <v>10</v>
      </c>
      <c r="DV135" s="1"/>
      <c r="DW135" s="1" t="s">
        <v>10</v>
      </c>
      <c r="DX135" s="1" t="s">
        <v>10</v>
      </c>
      <c r="DY135" s="1"/>
      <c r="DZ135" s="1" t="s">
        <v>10</v>
      </c>
      <c r="EA135" s="1"/>
      <c r="EB135" s="1" t="s">
        <v>10</v>
      </c>
      <c r="EC135" s="1"/>
      <c r="ED135" s="1"/>
      <c r="EE135" s="1" t="s">
        <v>10</v>
      </c>
      <c r="EF135" s="1" t="s">
        <v>10</v>
      </c>
      <c r="EG135" s="1"/>
      <c r="EH135" s="1" t="s">
        <v>10</v>
      </c>
      <c r="EI135" s="1" t="s">
        <v>10</v>
      </c>
      <c r="EJ135" s="1"/>
      <c r="EK135" s="1" t="s">
        <v>10</v>
      </c>
      <c r="EL135" s="1" t="s">
        <v>10</v>
      </c>
      <c r="EM135" s="1" t="s">
        <v>10</v>
      </c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 t="s">
        <v>10</v>
      </c>
      <c r="FB135" s="1"/>
      <c r="FC135" s="1"/>
      <c r="FD135" s="1" t="s">
        <v>10</v>
      </c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 t="s">
        <v>10</v>
      </c>
      <c r="FY135" s="1"/>
      <c r="FZ135" s="1"/>
      <c r="GA135" s="1"/>
      <c r="GB135" s="1"/>
      <c r="GC135" s="1"/>
      <c r="GD135" s="1"/>
      <c r="GE135" s="1"/>
      <c r="GF135" s="1" t="s">
        <v>8</v>
      </c>
      <c r="GG135" s="1"/>
      <c r="GH135" s="1" t="s">
        <v>8</v>
      </c>
      <c r="GI135" s="1"/>
      <c r="GJ135" s="1"/>
      <c r="GK135" s="1"/>
      <c r="GL135" s="1"/>
      <c r="GM135" s="1"/>
      <c r="GN135" s="1"/>
      <c r="GO135" s="1"/>
      <c r="GP135" s="1" t="s">
        <v>8</v>
      </c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 t="s">
        <v>10</v>
      </c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 t="s">
        <v>8</v>
      </c>
      <c r="IP135" s="1" t="s">
        <v>8</v>
      </c>
      <c r="IQ135" s="1" t="s">
        <v>8</v>
      </c>
      <c r="IR135" s="1" t="s">
        <v>8</v>
      </c>
      <c r="IS135" s="1" t="s">
        <v>8</v>
      </c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 t="s">
        <v>8</v>
      </c>
      <c r="JT135" s="1" t="s">
        <v>8</v>
      </c>
      <c r="JU135" s="1" t="s">
        <v>8</v>
      </c>
      <c r="JV135" s="1" t="s">
        <v>8</v>
      </c>
      <c r="JW135" s="1" t="s">
        <v>8</v>
      </c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4" t="s">
        <v>13</v>
      </c>
    </row>
    <row r="136" spans="1:369" x14ac:dyDescent="0.25">
      <c r="A136" s="1">
        <v>132</v>
      </c>
      <c r="B136" s="28" t="s">
        <v>139</v>
      </c>
      <c r="C136" s="10" t="s">
        <v>186</v>
      </c>
      <c r="D136" s="1" t="s">
        <v>8</v>
      </c>
      <c r="E136" s="1" t="s">
        <v>8</v>
      </c>
      <c r="F136" s="1" t="s">
        <v>8</v>
      </c>
      <c r="G136" s="1" t="s">
        <v>8</v>
      </c>
      <c r="H136" s="1" t="s">
        <v>8</v>
      </c>
      <c r="I136" s="1" t="s">
        <v>8</v>
      </c>
      <c r="J136" s="1" t="s">
        <v>8</v>
      </c>
      <c r="K136" s="1" t="s">
        <v>8</v>
      </c>
      <c r="L136" s="1" t="s">
        <v>8</v>
      </c>
      <c r="M136" s="1" t="s">
        <v>8</v>
      </c>
      <c r="N136" s="1" t="s">
        <v>8</v>
      </c>
      <c r="O136" s="1" t="s">
        <v>8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 t="s">
        <v>10</v>
      </c>
      <c r="EB136" s="1"/>
      <c r="EC136" s="1"/>
      <c r="ED136" s="1"/>
      <c r="EE136" s="1"/>
      <c r="EF136" s="1"/>
      <c r="EG136" s="1"/>
      <c r="EH136" s="1"/>
      <c r="EI136" s="1" t="s">
        <v>10</v>
      </c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 t="s">
        <v>10</v>
      </c>
      <c r="FD136" s="1"/>
      <c r="FE136" s="1"/>
      <c r="FF136" s="1"/>
      <c r="FG136" s="1"/>
      <c r="FH136" s="1"/>
      <c r="FI136" s="1"/>
      <c r="FJ136" s="1"/>
      <c r="FK136" s="1"/>
      <c r="FL136" s="1" t="s">
        <v>10</v>
      </c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 t="s">
        <v>8</v>
      </c>
      <c r="GE136" s="1" t="s">
        <v>10</v>
      </c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 t="s">
        <v>10</v>
      </c>
      <c r="GT136" s="1"/>
      <c r="GU136" s="1"/>
      <c r="GV136" s="1"/>
      <c r="GW136" s="1"/>
      <c r="GX136" s="1"/>
      <c r="GY136" s="1" t="s">
        <v>10</v>
      </c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 t="s">
        <v>10</v>
      </c>
      <c r="HM136" s="1"/>
      <c r="HN136" s="1"/>
      <c r="HO136" s="1"/>
      <c r="HP136" s="1"/>
      <c r="HQ136" s="1"/>
      <c r="HR136" s="1"/>
      <c r="HS136" s="1" t="s">
        <v>10</v>
      </c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 t="s">
        <v>8</v>
      </c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 t="s">
        <v>8</v>
      </c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4" t="s">
        <v>13</v>
      </c>
    </row>
    <row r="137" spans="1:369" x14ac:dyDescent="0.25">
      <c r="A137" s="1">
        <v>133</v>
      </c>
      <c r="B137" s="28" t="s">
        <v>139</v>
      </c>
      <c r="C137" s="53" t="s">
        <v>187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 t="s">
        <v>10</v>
      </c>
      <c r="DZ137" s="1"/>
      <c r="EA137" s="1"/>
      <c r="EB137" s="1"/>
      <c r="EC137" s="1"/>
      <c r="ED137" s="1"/>
      <c r="EE137" s="1"/>
      <c r="EF137" s="1"/>
      <c r="EG137" s="1"/>
      <c r="EH137" s="1"/>
      <c r="EI137" s="1" t="s">
        <v>10</v>
      </c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4"/>
    </row>
    <row r="138" spans="1:369" x14ac:dyDescent="0.25">
      <c r="A138" s="1">
        <v>134</v>
      </c>
      <c r="B138" s="28" t="s">
        <v>139</v>
      </c>
      <c r="C138" s="10" t="s">
        <v>219</v>
      </c>
      <c r="D138" s="1" t="s">
        <v>8</v>
      </c>
      <c r="E138" s="1" t="s">
        <v>8</v>
      </c>
      <c r="F138" s="1" t="s">
        <v>8</v>
      </c>
      <c r="G138" s="1" t="s">
        <v>8</v>
      </c>
      <c r="H138" s="1" t="s">
        <v>8</v>
      </c>
      <c r="I138" s="1" t="s">
        <v>8</v>
      </c>
      <c r="J138" s="1" t="s">
        <v>8</v>
      </c>
      <c r="K138" s="1" t="s">
        <v>8</v>
      </c>
      <c r="L138" s="1" t="s">
        <v>8</v>
      </c>
      <c r="M138" s="1" t="s">
        <v>8</v>
      </c>
      <c r="N138" s="1" t="s">
        <v>8</v>
      </c>
      <c r="O138" s="1" t="s">
        <v>8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4"/>
    </row>
    <row r="139" spans="1:369" x14ac:dyDescent="0.25">
      <c r="A139" s="1">
        <v>135</v>
      </c>
      <c r="B139" s="28" t="s">
        <v>139</v>
      </c>
      <c r="C139" s="10" t="s">
        <v>220</v>
      </c>
      <c r="D139" s="1" t="s">
        <v>8</v>
      </c>
      <c r="E139" s="1" t="s">
        <v>8</v>
      </c>
      <c r="F139" s="1" t="s">
        <v>8</v>
      </c>
      <c r="G139" s="1" t="s">
        <v>8</v>
      </c>
      <c r="H139" s="1" t="s">
        <v>8</v>
      </c>
      <c r="I139" s="1" t="s">
        <v>8</v>
      </c>
      <c r="J139" s="1" t="s">
        <v>8</v>
      </c>
      <c r="K139" s="1" t="s">
        <v>8</v>
      </c>
      <c r="L139" s="1" t="s">
        <v>8</v>
      </c>
      <c r="M139" s="1" t="s">
        <v>8</v>
      </c>
      <c r="N139" s="1" t="s">
        <v>8</v>
      </c>
      <c r="O139" s="1" t="s">
        <v>8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 t="s">
        <v>10</v>
      </c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4"/>
    </row>
    <row r="140" spans="1:369" x14ac:dyDescent="0.25">
      <c r="A140" s="1">
        <v>136</v>
      </c>
      <c r="B140" s="28" t="s">
        <v>139</v>
      </c>
      <c r="C140" s="10" t="s">
        <v>221</v>
      </c>
      <c r="D140" s="1" t="s">
        <v>8</v>
      </c>
      <c r="E140" s="1" t="s">
        <v>8</v>
      </c>
      <c r="F140" s="1" t="s">
        <v>8</v>
      </c>
      <c r="G140" s="1" t="s">
        <v>8</v>
      </c>
      <c r="H140" s="1" t="s">
        <v>8</v>
      </c>
      <c r="I140" s="1" t="s">
        <v>8</v>
      </c>
      <c r="J140" s="1" t="s">
        <v>8</v>
      </c>
      <c r="K140" s="1" t="s">
        <v>8</v>
      </c>
      <c r="L140" s="1" t="s">
        <v>8</v>
      </c>
      <c r="M140" s="1" t="s">
        <v>8</v>
      </c>
      <c r="N140" s="1" t="s">
        <v>8</v>
      </c>
      <c r="O140" s="1" t="s">
        <v>8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 t="s">
        <v>10</v>
      </c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4"/>
    </row>
    <row r="141" spans="1:369" x14ac:dyDescent="0.25">
      <c r="A141" s="1">
        <v>137</v>
      </c>
      <c r="B141" s="28" t="s">
        <v>139</v>
      </c>
      <c r="C141" s="10" t="s">
        <v>222</v>
      </c>
      <c r="D141" s="1" t="s">
        <v>8</v>
      </c>
      <c r="E141" s="1" t="s">
        <v>8</v>
      </c>
      <c r="F141" s="1" t="s">
        <v>8</v>
      </c>
      <c r="G141" s="1" t="s">
        <v>8</v>
      </c>
      <c r="H141" s="1" t="s">
        <v>8</v>
      </c>
      <c r="I141" s="1" t="s">
        <v>8</v>
      </c>
      <c r="J141" s="1" t="s">
        <v>8</v>
      </c>
      <c r="K141" s="1" t="s">
        <v>8</v>
      </c>
      <c r="L141" s="1" t="s">
        <v>8</v>
      </c>
      <c r="M141" s="1" t="s">
        <v>8</v>
      </c>
      <c r="N141" s="1" t="s">
        <v>8</v>
      </c>
      <c r="O141" s="1" t="s">
        <v>8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 t="s">
        <v>6</v>
      </c>
      <c r="GX141" s="1" t="s">
        <v>6</v>
      </c>
      <c r="GY141" s="1" t="s">
        <v>8</v>
      </c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4"/>
    </row>
    <row r="142" spans="1:369" x14ac:dyDescent="0.25">
      <c r="A142" s="1">
        <v>138</v>
      </c>
      <c r="B142" s="28" t="s">
        <v>139</v>
      </c>
      <c r="C142" s="10" t="s">
        <v>223</v>
      </c>
      <c r="D142" s="1" t="s">
        <v>8</v>
      </c>
      <c r="E142" s="1" t="s">
        <v>8</v>
      </c>
      <c r="F142" s="1" t="s">
        <v>8</v>
      </c>
      <c r="G142" s="1" t="s">
        <v>8</v>
      </c>
      <c r="H142" s="1" t="s">
        <v>8</v>
      </c>
      <c r="I142" s="1" t="s">
        <v>8</v>
      </c>
      <c r="J142" s="1" t="s">
        <v>8</v>
      </c>
      <c r="K142" s="1" t="s">
        <v>8</v>
      </c>
      <c r="L142" s="1" t="s">
        <v>8</v>
      </c>
      <c r="M142" s="1" t="s">
        <v>8</v>
      </c>
      <c r="N142" s="1" t="s">
        <v>8</v>
      </c>
      <c r="O142" s="1" t="s">
        <v>8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 t="s">
        <v>8</v>
      </c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4"/>
    </row>
    <row r="143" spans="1:369" x14ac:dyDescent="0.25">
      <c r="A143" s="1">
        <v>139</v>
      </c>
      <c r="B143" s="28" t="s">
        <v>139</v>
      </c>
      <c r="C143" s="10" t="s">
        <v>224</v>
      </c>
      <c r="D143" s="1" t="s">
        <v>8</v>
      </c>
      <c r="E143" s="1" t="s">
        <v>8</v>
      </c>
      <c r="F143" s="1" t="s">
        <v>8</v>
      </c>
      <c r="G143" s="1" t="s">
        <v>8</v>
      </c>
      <c r="H143" s="1" t="s">
        <v>8</v>
      </c>
      <c r="I143" s="1" t="s">
        <v>8</v>
      </c>
      <c r="J143" s="1" t="s">
        <v>8</v>
      </c>
      <c r="K143" s="1" t="s">
        <v>8</v>
      </c>
      <c r="L143" s="1" t="s">
        <v>8</v>
      </c>
      <c r="M143" s="1" t="s">
        <v>8</v>
      </c>
      <c r="N143" s="1" t="s">
        <v>8</v>
      </c>
      <c r="O143" s="1" t="s">
        <v>8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4"/>
    </row>
    <row r="144" spans="1:369" x14ac:dyDescent="0.25">
      <c r="A144" s="1">
        <v>140</v>
      </c>
      <c r="B144" s="28" t="s">
        <v>229</v>
      </c>
      <c r="C144" s="10" t="s">
        <v>225</v>
      </c>
      <c r="D144" s="1" t="s">
        <v>8</v>
      </c>
      <c r="E144" s="1" t="s">
        <v>8</v>
      </c>
      <c r="F144" s="1" t="s">
        <v>8</v>
      </c>
      <c r="G144" s="1" t="s">
        <v>8</v>
      </c>
      <c r="H144" s="1" t="s">
        <v>8</v>
      </c>
      <c r="I144" s="1" t="s">
        <v>8</v>
      </c>
      <c r="J144" s="1" t="s">
        <v>8</v>
      </c>
      <c r="K144" s="1" t="s">
        <v>8</v>
      </c>
      <c r="L144" s="1" t="s">
        <v>8</v>
      </c>
      <c r="M144" s="1" t="s">
        <v>8</v>
      </c>
      <c r="N144" s="1" t="s">
        <v>8</v>
      </c>
      <c r="O144" s="1" t="s">
        <v>8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 t="s">
        <v>10</v>
      </c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4"/>
    </row>
    <row r="145" spans="1:369" x14ac:dyDescent="0.25">
      <c r="A145" s="1">
        <v>141</v>
      </c>
      <c r="B145" s="28" t="s">
        <v>226</v>
      </c>
      <c r="C145" s="10" t="s">
        <v>227</v>
      </c>
      <c r="D145" s="1" t="s">
        <v>8</v>
      </c>
      <c r="E145" s="1" t="s">
        <v>8</v>
      </c>
      <c r="F145" s="1" t="s">
        <v>8</v>
      </c>
      <c r="G145" s="1" t="s">
        <v>8</v>
      </c>
      <c r="H145" s="1" t="s">
        <v>8</v>
      </c>
      <c r="I145" s="1" t="s">
        <v>8</v>
      </c>
      <c r="J145" s="1" t="s">
        <v>8</v>
      </c>
      <c r="K145" s="1" t="s">
        <v>8</v>
      </c>
      <c r="L145" s="1" t="s">
        <v>8</v>
      </c>
      <c r="M145" s="1" t="s">
        <v>8</v>
      </c>
      <c r="N145" s="1" t="s">
        <v>8</v>
      </c>
      <c r="O145" s="1" t="s">
        <v>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 t="s">
        <v>10</v>
      </c>
      <c r="FY145" s="1"/>
      <c r="FZ145" s="1"/>
      <c r="GA145" s="1" t="s">
        <v>10</v>
      </c>
      <c r="GB145" s="1"/>
      <c r="GC145" s="1"/>
      <c r="GD145" s="1"/>
      <c r="GE145" s="1"/>
      <c r="GF145" s="1" t="s">
        <v>10</v>
      </c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 t="s">
        <v>10</v>
      </c>
      <c r="GY145" s="1"/>
      <c r="GZ145" s="1"/>
      <c r="HA145" s="1"/>
      <c r="HB145" s="1"/>
      <c r="HC145" s="1"/>
      <c r="HD145" s="1"/>
      <c r="HE145" s="1"/>
      <c r="HF145" s="1" t="s">
        <v>10</v>
      </c>
      <c r="HG145" s="1"/>
      <c r="HH145" s="1"/>
      <c r="HI145" s="1"/>
      <c r="HJ145" s="1" t="s">
        <v>10</v>
      </c>
      <c r="HK145" s="1"/>
      <c r="HL145" s="1"/>
      <c r="HM145" s="1"/>
      <c r="HN145" s="1"/>
      <c r="HO145" s="1"/>
      <c r="HP145" s="1"/>
      <c r="HQ145" s="1" t="s">
        <v>10</v>
      </c>
      <c r="HR145" s="1" t="s">
        <v>10</v>
      </c>
      <c r="HS145" s="1"/>
      <c r="HT145" s="1"/>
      <c r="HU145" s="1"/>
      <c r="HV145" s="1"/>
      <c r="HW145" s="1"/>
      <c r="HX145" s="1"/>
      <c r="HY145" s="1" t="s">
        <v>10</v>
      </c>
      <c r="HZ145" s="1"/>
      <c r="IA145" s="1" t="s">
        <v>10</v>
      </c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4"/>
    </row>
    <row r="146" spans="1:369" x14ac:dyDescent="0.25">
      <c r="A146" s="1">
        <v>142</v>
      </c>
      <c r="B146" s="28" t="s">
        <v>226</v>
      </c>
      <c r="C146" s="10" t="s">
        <v>228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 t="s">
        <v>8</v>
      </c>
      <c r="CK146" s="1" t="s">
        <v>8</v>
      </c>
      <c r="CL146" s="1" t="s">
        <v>8</v>
      </c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 t="s">
        <v>8</v>
      </c>
      <c r="FZ146" s="1"/>
      <c r="GA146" s="1" t="s">
        <v>8</v>
      </c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4"/>
    </row>
    <row r="147" spans="1:369" x14ac:dyDescent="0.25">
      <c r="A147" s="1">
        <v>143</v>
      </c>
      <c r="B147" s="28" t="s">
        <v>230</v>
      </c>
      <c r="C147" s="10" t="s">
        <v>231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 t="s">
        <v>8</v>
      </c>
      <c r="CK147" s="1" t="s">
        <v>8</v>
      </c>
      <c r="CL147" s="1" t="s">
        <v>8</v>
      </c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 t="s">
        <v>8</v>
      </c>
      <c r="GN147" s="1"/>
      <c r="GO147" s="1" t="s">
        <v>8</v>
      </c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4"/>
    </row>
    <row r="148" spans="1:369" x14ac:dyDescent="0.25">
      <c r="A148" s="1">
        <v>144</v>
      </c>
      <c r="B148" s="10" t="s">
        <v>233</v>
      </c>
      <c r="C148" s="10" t="s">
        <v>234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 t="s">
        <v>10</v>
      </c>
      <c r="GN148" s="1" t="s">
        <v>10</v>
      </c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 t="s">
        <v>10</v>
      </c>
      <c r="HA148" s="1" t="s">
        <v>10</v>
      </c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4"/>
    </row>
    <row r="149" spans="1:369" x14ac:dyDescent="0.25">
      <c r="A149" s="50" t="s">
        <v>14</v>
      </c>
      <c r="B149" s="50" t="s">
        <v>14</v>
      </c>
      <c r="C149" s="50" t="s">
        <v>14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 t="s">
        <v>14</v>
      </c>
      <c r="AN149" s="15" t="s">
        <v>14</v>
      </c>
      <c r="AO149" s="15" t="s">
        <v>14</v>
      </c>
      <c r="AP149" s="15" t="s">
        <v>14</v>
      </c>
      <c r="AQ149" s="15" t="s">
        <v>14</v>
      </c>
      <c r="AR149" s="15" t="s">
        <v>14</v>
      </c>
      <c r="AS149" s="15" t="s">
        <v>14</v>
      </c>
      <c r="AT149" s="15" t="s">
        <v>14</v>
      </c>
      <c r="AU149" s="15" t="s">
        <v>14</v>
      </c>
      <c r="AV149" s="15" t="s">
        <v>14</v>
      </c>
      <c r="AW149" s="15" t="s">
        <v>14</v>
      </c>
      <c r="AX149" s="15" t="s">
        <v>14</v>
      </c>
      <c r="AY149" s="15" t="s">
        <v>14</v>
      </c>
      <c r="AZ149" s="15" t="s">
        <v>14</v>
      </c>
      <c r="BA149" s="15" t="s">
        <v>14</v>
      </c>
      <c r="BB149" s="15" t="s">
        <v>14</v>
      </c>
      <c r="BC149" s="15" t="s">
        <v>14</v>
      </c>
      <c r="BD149" s="15" t="s">
        <v>14</v>
      </c>
      <c r="BE149" s="15" t="s">
        <v>14</v>
      </c>
      <c r="BF149" s="15" t="s">
        <v>14</v>
      </c>
      <c r="BG149" s="15" t="s">
        <v>14</v>
      </c>
      <c r="BH149" s="15" t="s">
        <v>14</v>
      </c>
      <c r="BI149" s="15" t="s">
        <v>14</v>
      </c>
      <c r="BJ149" s="15" t="s">
        <v>14</v>
      </c>
      <c r="BK149" s="15" t="s">
        <v>14</v>
      </c>
      <c r="BL149" s="15" t="s">
        <v>14</v>
      </c>
      <c r="BM149" s="15" t="s">
        <v>14</v>
      </c>
      <c r="BN149" s="15" t="s">
        <v>14</v>
      </c>
      <c r="BO149" s="15" t="s">
        <v>14</v>
      </c>
      <c r="BP149" s="15" t="s">
        <v>14</v>
      </c>
      <c r="BQ149" s="15" t="s">
        <v>14</v>
      </c>
      <c r="BR149" s="15" t="s">
        <v>14</v>
      </c>
      <c r="BS149" s="15" t="s">
        <v>14</v>
      </c>
      <c r="BT149" s="15" t="s">
        <v>14</v>
      </c>
      <c r="BU149" s="15" t="s">
        <v>14</v>
      </c>
      <c r="BV149" s="15" t="s">
        <v>14</v>
      </c>
      <c r="BW149" s="15" t="s">
        <v>14</v>
      </c>
      <c r="BX149" s="15" t="s">
        <v>14</v>
      </c>
      <c r="BY149" s="15" t="s">
        <v>14</v>
      </c>
      <c r="BZ149" s="15" t="s">
        <v>14</v>
      </c>
      <c r="CA149" s="15" t="s">
        <v>14</v>
      </c>
      <c r="CB149" s="15" t="s">
        <v>14</v>
      </c>
      <c r="CC149" s="15" t="s">
        <v>14</v>
      </c>
      <c r="CD149" s="15" t="s">
        <v>14</v>
      </c>
      <c r="CE149" s="15" t="s">
        <v>14</v>
      </c>
      <c r="CF149" s="15" t="s">
        <v>14</v>
      </c>
      <c r="CG149" s="15" t="s">
        <v>14</v>
      </c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5"/>
      <c r="JL149" s="15"/>
      <c r="JM149" s="15"/>
      <c r="JN149" s="15"/>
      <c r="JO149" s="15"/>
      <c r="JP149" s="15"/>
      <c r="JQ149" s="15"/>
      <c r="JR149" s="15"/>
      <c r="JS149" s="15"/>
      <c r="JT149" s="15"/>
      <c r="JU149" s="15"/>
      <c r="JV149" s="15"/>
      <c r="JW149" s="15"/>
      <c r="JX149" s="15"/>
      <c r="JY149" s="15"/>
      <c r="JZ149" s="15"/>
      <c r="KA149" s="15"/>
      <c r="KB149" s="15"/>
      <c r="KC149" s="15"/>
      <c r="KD149" s="15"/>
      <c r="KE149" s="15"/>
      <c r="KF149" s="15"/>
      <c r="KG149" s="15"/>
      <c r="KH149" s="15"/>
      <c r="KI149" s="15"/>
      <c r="KJ149" s="15"/>
      <c r="KK149" s="15"/>
      <c r="KL149" s="15"/>
      <c r="KM149" s="15"/>
      <c r="KN149" s="15"/>
      <c r="KO149" s="15"/>
      <c r="KP149" s="15"/>
      <c r="KQ149" s="15"/>
      <c r="KR149" s="15"/>
      <c r="KS149" s="15"/>
      <c r="KT149" s="15"/>
      <c r="KU149" s="15"/>
      <c r="KV149" s="15"/>
      <c r="KW149" s="15"/>
      <c r="KX149" s="15"/>
      <c r="KY149" s="15"/>
      <c r="KZ149" s="15"/>
      <c r="LA149" s="15"/>
      <c r="LB149" s="15"/>
      <c r="LC149" s="15"/>
      <c r="LD149" s="15"/>
      <c r="LE149" s="15"/>
      <c r="LF149" s="15"/>
      <c r="LG149" s="15"/>
      <c r="LH149" s="15"/>
      <c r="LI149" s="15"/>
      <c r="LJ149" s="15"/>
      <c r="LK149" s="15"/>
      <c r="LL149" s="15"/>
      <c r="LM149" s="15"/>
      <c r="LN149" s="15"/>
      <c r="LO149" s="15"/>
      <c r="LP149" s="15"/>
      <c r="LQ149" s="15"/>
      <c r="LR149" s="15"/>
      <c r="LS149" s="15"/>
      <c r="LT149" s="15"/>
      <c r="LU149" s="15"/>
      <c r="LV149" s="15"/>
      <c r="LW149" s="15"/>
      <c r="LX149" s="15"/>
      <c r="LY149" s="15"/>
      <c r="LZ149" s="15"/>
      <c r="MA149" s="15"/>
      <c r="MB149" s="15"/>
      <c r="MC149" s="15"/>
      <c r="MD149" s="15"/>
      <c r="ME149" s="15"/>
      <c r="MF149" s="15"/>
      <c r="MG149" s="15"/>
      <c r="MH149" s="15"/>
      <c r="MI149" s="15"/>
      <c r="MJ149" s="15"/>
      <c r="MK149" s="15"/>
      <c r="ML149" s="15"/>
      <c r="MM149" s="15"/>
      <c r="MN149" s="15"/>
      <c r="MO149" s="15"/>
      <c r="MP149" s="15"/>
      <c r="MQ149" s="15"/>
      <c r="MR149" s="15"/>
      <c r="MS149" s="15"/>
      <c r="MT149" s="15"/>
      <c r="MU149" s="14" t="s">
        <v>13</v>
      </c>
      <c r="MV149" s="14" t="s">
        <v>13</v>
      </c>
      <c r="MW149" s="14" t="s">
        <v>13</v>
      </c>
      <c r="MX149" s="14" t="s">
        <v>13</v>
      </c>
      <c r="MY149" s="14" t="s">
        <v>13</v>
      </c>
      <c r="MZ149" s="14" t="s">
        <v>13</v>
      </c>
      <c r="NA149" s="14" t="s">
        <v>13</v>
      </c>
      <c r="NB149" s="14" t="s">
        <v>13</v>
      </c>
      <c r="NC149" s="14" t="s">
        <v>13</v>
      </c>
      <c r="ND149" s="14" t="s">
        <v>13</v>
      </c>
      <c r="NE149" s="14" t="s">
        <v>13</v>
      </c>
    </row>
    <row r="150" spans="1:369" x14ac:dyDescent="0.25">
      <c r="A150" s="51"/>
      <c r="B150" s="52"/>
      <c r="C150" s="52"/>
      <c r="NE150" s="14"/>
    </row>
    <row r="151" spans="1:369" x14ac:dyDescent="0.25">
      <c r="A151" s="51"/>
      <c r="B151" s="52"/>
      <c r="C151" s="52"/>
      <c r="NE151" s="14"/>
    </row>
    <row r="152" spans="1:369" x14ac:dyDescent="0.25">
      <c r="A152" s="51"/>
      <c r="B152" s="52"/>
      <c r="C152" s="52"/>
      <c r="NE152" s="14"/>
    </row>
    <row r="153" spans="1:369" x14ac:dyDescent="0.25">
      <c r="A153" s="51"/>
      <c r="B153" s="52"/>
      <c r="C153" s="52"/>
      <c r="NE153" s="14"/>
    </row>
    <row r="154" spans="1:369" x14ac:dyDescent="0.25">
      <c r="A154" s="51"/>
      <c r="B154" s="52"/>
      <c r="C154" s="52"/>
      <c r="NE154" s="14"/>
    </row>
    <row r="155" spans="1:369" x14ac:dyDescent="0.25">
      <c r="A155" s="51"/>
      <c r="B155" s="52"/>
      <c r="C155" s="52"/>
      <c r="NE155" s="14"/>
    </row>
    <row r="156" spans="1:369" x14ac:dyDescent="0.25">
      <c r="A156" s="51"/>
      <c r="B156" s="52"/>
      <c r="C156" s="52"/>
      <c r="NE156" s="14"/>
    </row>
    <row r="157" spans="1:369" x14ac:dyDescent="0.25">
      <c r="A157" s="51"/>
      <c r="B157" s="52"/>
      <c r="C157" s="52"/>
      <c r="NE157" s="14"/>
    </row>
    <row r="158" spans="1:369" x14ac:dyDescent="0.25">
      <c r="A158" s="51"/>
      <c r="B158" s="52"/>
      <c r="C158" s="52"/>
      <c r="NE158" s="14"/>
    </row>
    <row r="159" spans="1:369" x14ac:dyDescent="0.25">
      <c r="A159" s="51"/>
      <c r="B159" s="52"/>
      <c r="C159" s="52"/>
      <c r="NE159" s="14"/>
    </row>
    <row r="160" spans="1:369" x14ac:dyDescent="0.25">
      <c r="A160" s="51"/>
      <c r="B160" s="52"/>
      <c r="C160" s="52"/>
      <c r="NE160" s="14"/>
    </row>
    <row r="161" spans="1:369" x14ac:dyDescent="0.25">
      <c r="A161" s="51"/>
      <c r="B161" s="52"/>
      <c r="C161" s="52"/>
      <c r="NE161" s="14"/>
    </row>
    <row r="162" spans="1:369" x14ac:dyDescent="0.25">
      <c r="A162" s="51"/>
      <c r="B162" s="52"/>
      <c r="C162" s="52"/>
      <c r="NE162" s="14"/>
    </row>
    <row r="163" spans="1:369" x14ac:dyDescent="0.25">
      <c r="A163" s="51"/>
      <c r="B163" s="52"/>
      <c r="C163" s="52"/>
      <c r="NE163" s="14"/>
    </row>
    <row r="164" spans="1:369" x14ac:dyDescent="0.25">
      <c r="A164" s="51"/>
      <c r="B164" s="52"/>
      <c r="C164" s="52"/>
      <c r="NE164" s="14"/>
    </row>
    <row r="165" spans="1:369" x14ac:dyDescent="0.25">
      <c r="A165" s="51"/>
      <c r="B165" s="52"/>
      <c r="C165" s="52"/>
      <c r="NE165" s="14"/>
    </row>
    <row r="166" spans="1:369" x14ac:dyDescent="0.25">
      <c r="A166" s="51"/>
      <c r="B166" s="52"/>
      <c r="C166" s="52"/>
      <c r="NE166" s="14"/>
    </row>
    <row r="167" spans="1:369" x14ac:dyDescent="0.25">
      <c r="A167" s="51"/>
      <c r="B167" s="52"/>
      <c r="C167" s="52"/>
      <c r="NE167" s="14"/>
    </row>
    <row r="168" spans="1:369" x14ac:dyDescent="0.25">
      <c r="A168" s="51"/>
      <c r="B168" s="52"/>
      <c r="C168" s="52"/>
      <c r="NE168" s="14"/>
    </row>
    <row r="169" spans="1:369" x14ac:dyDescent="0.25">
      <c r="A169" s="51"/>
      <c r="B169" s="52"/>
      <c r="C169" s="52"/>
      <c r="NE169" s="14"/>
    </row>
    <row r="170" spans="1:369" x14ac:dyDescent="0.25">
      <c r="A170" s="51"/>
      <c r="B170" s="52"/>
      <c r="C170" s="52"/>
      <c r="NE170" s="14"/>
    </row>
    <row r="171" spans="1:369" x14ac:dyDescent="0.25">
      <c r="A171" s="51"/>
      <c r="B171" s="52"/>
      <c r="C171" s="52"/>
      <c r="NE171" s="14"/>
    </row>
    <row r="172" spans="1:369" x14ac:dyDescent="0.25">
      <c r="A172" s="51"/>
      <c r="B172" s="52"/>
      <c r="C172" s="52"/>
      <c r="NE172" s="14"/>
    </row>
    <row r="173" spans="1:369" x14ac:dyDescent="0.25">
      <c r="A173" s="51"/>
      <c r="B173" s="52"/>
      <c r="C173" s="52"/>
      <c r="NE173" s="14"/>
    </row>
    <row r="174" spans="1:369" x14ac:dyDescent="0.25">
      <c r="A174" s="51"/>
      <c r="B174" s="52"/>
      <c r="C174" s="52"/>
      <c r="NE174" s="14"/>
    </row>
    <row r="175" spans="1:369" x14ac:dyDescent="0.25">
      <c r="A175" s="51"/>
      <c r="B175" s="52"/>
      <c r="C175" s="52"/>
      <c r="NE175" s="14"/>
    </row>
    <row r="176" spans="1:369" x14ac:dyDescent="0.25">
      <c r="B176" s="52"/>
      <c r="C176" s="52"/>
      <c r="NE176" s="14"/>
    </row>
    <row r="177" spans="2:369" x14ac:dyDescent="0.25">
      <c r="B177" s="52"/>
      <c r="C177" s="52"/>
      <c r="NE177" s="14"/>
    </row>
    <row r="178" spans="2:369" x14ac:dyDescent="0.25">
      <c r="B178" s="52"/>
      <c r="C178" s="52"/>
      <c r="NE178" s="14"/>
    </row>
    <row r="179" spans="2:369" x14ac:dyDescent="0.25">
      <c r="B179" s="52"/>
      <c r="C179" s="52"/>
      <c r="NE179" s="14"/>
    </row>
    <row r="180" spans="2:369" x14ac:dyDescent="0.25">
      <c r="B180" s="52"/>
      <c r="C180" s="52"/>
      <c r="NE180" s="14"/>
    </row>
    <row r="181" spans="2:369" x14ac:dyDescent="0.25">
      <c r="B181" s="52"/>
      <c r="C181" s="52"/>
      <c r="NE181" s="14"/>
    </row>
    <row r="182" spans="2:369" x14ac:dyDescent="0.25">
      <c r="B182" s="52"/>
      <c r="C182" s="52"/>
      <c r="NE182" s="14"/>
    </row>
    <row r="183" spans="2:369" x14ac:dyDescent="0.25">
      <c r="B183" s="52"/>
      <c r="C183" s="52"/>
      <c r="NE183" s="14"/>
    </row>
    <row r="184" spans="2:369" x14ac:dyDescent="0.25">
      <c r="B184" s="52"/>
      <c r="C184" s="52"/>
      <c r="NE184" s="14"/>
    </row>
    <row r="185" spans="2:369" x14ac:dyDescent="0.25">
      <c r="B185" s="52"/>
      <c r="C185" s="52"/>
      <c r="NE185" s="14"/>
    </row>
    <row r="186" spans="2:369" x14ac:dyDescent="0.25">
      <c r="B186" s="52"/>
      <c r="C186" s="52"/>
      <c r="NE186" s="14"/>
    </row>
    <row r="187" spans="2:369" x14ac:dyDescent="0.25">
      <c r="B187" s="52"/>
      <c r="C187" s="52"/>
      <c r="NE187" s="14"/>
    </row>
    <row r="188" spans="2:369" x14ac:dyDescent="0.25">
      <c r="B188" s="52"/>
      <c r="C188" s="52"/>
      <c r="NE188" s="14"/>
    </row>
    <row r="189" spans="2:369" x14ac:dyDescent="0.25">
      <c r="B189" s="52"/>
      <c r="C189" s="52"/>
      <c r="NE189" s="14"/>
    </row>
    <row r="190" spans="2:369" x14ac:dyDescent="0.25">
      <c r="B190" s="52"/>
      <c r="C190" s="52"/>
      <c r="NE190" s="14"/>
    </row>
    <row r="191" spans="2:369" x14ac:dyDescent="0.25">
      <c r="B191" s="52"/>
      <c r="C191" s="52"/>
      <c r="NE191" s="14"/>
    </row>
    <row r="192" spans="2:369" x14ac:dyDescent="0.25">
      <c r="B192" s="52"/>
      <c r="C192" s="52"/>
      <c r="NE192" s="14"/>
    </row>
    <row r="193" spans="2:369" x14ac:dyDescent="0.25">
      <c r="B193" s="52"/>
      <c r="C193" s="52"/>
      <c r="NE193" s="14"/>
    </row>
    <row r="194" spans="2:369" x14ac:dyDescent="0.25">
      <c r="B194" s="52"/>
      <c r="C194" s="52"/>
      <c r="NE194" s="14"/>
    </row>
    <row r="195" spans="2:369" x14ac:dyDescent="0.25">
      <c r="B195" s="52"/>
      <c r="C195" s="52"/>
      <c r="NE195" s="14"/>
    </row>
    <row r="196" spans="2:369" x14ac:dyDescent="0.25">
      <c r="B196" s="52"/>
      <c r="C196" s="52"/>
      <c r="NE196" s="14"/>
    </row>
    <row r="197" spans="2:369" x14ac:dyDescent="0.25">
      <c r="B197" s="52"/>
      <c r="C197" s="52"/>
      <c r="NE197" s="14"/>
    </row>
    <row r="198" spans="2:369" x14ac:dyDescent="0.25">
      <c r="B198" s="52"/>
      <c r="C198" s="52"/>
      <c r="NE198" s="14"/>
    </row>
    <row r="199" spans="2:369" x14ac:dyDescent="0.25">
      <c r="B199" s="52"/>
      <c r="C199" s="52"/>
      <c r="NE199" s="14"/>
    </row>
    <row r="200" spans="2:369" x14ac:dyDescent="0.25">
      <c r="B200" s="52"/>
      <c r="C200" s="52"/>
      <c r="NE200" s="14"/>
    </row>
    <row r="201" spans="2:369" x14ac:dyDescent="0.25">
      <c r="B201" s="52"/>
      <c r="C201" s="52"/>
      <c r="NE201" s="14"/>
    </row>
    <row r="202" spans="2:369" x14ac:dyDescent="0.25">
      <c r="B202" s="52"/>
      <c r="C202" s="52"/>
      <c r="NE202" s="14"/>
    </row>
    <row r="203" spans="2:369" x14ac:dyDescent="0.25">
      <c r="B203" s="52"/>
      <c r="C203" s="52"/>
      <c r="NE203" s="14"/>
    </row>
    <row r="204" spans="2:369" x14ac:dyDescent="0.25">
      <c r="B204" s="52"/>
      <c r="C204" s="52"/>
      <c r="NE204" s="14"/>
    </row>
    <row r="205" spans="2:369" x14ac:dyDescent="0.25">
      <c r="B205" s="52"/>
      <c r="C205" s="52"/>
      <c r="NE205" s="14"/>
    </row>
    <row r="206" spans="2:369" x14ac:dyDescent="0.25">
      <c r="B206" s="52"/>
      <c r="C206" s="52"/>
      <c r="NE206" s="14"/>
    </row>
    <row r="207" spans="2:369" x14ac:dyDescent="0.25">
      <c r="B207" s="52"/>
      <c r="C207" s="52"/>
      <c r="NE207" s="14"/>
    </row>
    <row r="208" spans="2:369" x14ac:dyDescent="0.25">
      <c r="B208" s="52"/>
      <c r="C208" s="52"/>
      <c r="NE208" s="14"/>
    </row>
    <row r="209" spans="2:369" x14ac:dyDescent="0.25">
      <c r="B209" s="52"/>
      <c r="C209" s="52"/>
      <c r="NE209" s="14"/>
    </row>
    <row r="210" spans="2:369" x14ac:dyDescent="0.25">
      <c r="B210" s="52"/>
      <c r="C210" s="52"/>
      <c r="NE210" s="14"/>
    </row>
    <row r="211" spans="2:369" x14ac:dyDescent="0.25">
      <c r="B211" s="52"/>
      <c r="C211" s="52"/>
      <c r="NE211" s="14"/>
    </row>
  </sheetData>
  <autoFilter ref="A3:C149" xr:uid="{00000000-0001-0000-0000-000000000000}"/>
  <mergeCells count="1">
    <mergeCell ref="A1:C2"/>
  </mergeCells>
  <phoneticPr fontId="7" type="noConversion"/>
  <conditionalFormatting sqref="D5:ND148">
    <cfRule type="notContainsText" dxfId="9" priority="3" operator="notContains" text="H">
      <formula>ISERROR(SEARCH("H",D5))</formula>
    </cfRule>
    <cfRule type="cellIs" dxfId="8" priority="4" operator="equal">
      <formula>"H"</formula>
    </cfRule>
  </conditionalFormatting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Setting!$A$2:$A$7</xm:f>
          </x14:formula1>
          <xm:sqref>D5:ND148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"/>
  <sheetViews>
    <sheetView showGridLines="0" zoomScale="85" zoomScaleNormal="85" workbookViewId="0">
      <pane xSplit="3" ySplit="6" topLeftCell="D109" activePane="bottomRight" state="frozen"/>
      <selection pane="topRight" activeCell="D1" sqref="D1"/>
      <selection pane="bottomLeft" activeCell="A8" sqref="A8"/>
      <selection pane="bottomRight" activeCell="A117" sqref="A117:XFD117"/>
    </sheetView>
  </sheetViews>
  <sheetFormatPr defaultRowHeight="15" customHeight="1" x14ac:dyDescent="0.25"/>
  <cols>
    <col min="2" max="2" width="19.7109375" customWidth="1"/>
    <col min="3" max="3" width="29.140625" customWidth="1"/>
    <col min="4" max="4" width="27.85546875" hidden="1" customWidth="1"/>
    <col min="5" max="5" width="9.85546875" hidden="1" customWidth="1"/>
    <col min="6" max="6" width="12" customWidth="1"/>
    <col min="7" max="8" width="12.140625" customWidth="1"/>
    <col min="9" max="9" width="13.140625" customWidth="1"/>
    <col min="10" max="13" width="12.140625" customWidth="1"/>
    <col min="15" max="15" width="9.140625" customWidth="1"/>
  </cols>
  <sheetData>
    <row r="1" spans="1:13" ht="15" customHeight="1" x14ac:dyDescent="0.25">
      <c r="A1" s="32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15" customHeight="1" x14ac:dyDescent="0.25">
      <c r="M2" s="60" t="str">
        <f>VLOOKUP(C3,Setting!D2:E13,2,0)</f>
        <v>09</v>
      </c>
    </row>
    <row r="3" spans="1:13" ht="15" customHeight="1" x14ac:dyDescent="0.25">
      <c r="B3" s="48" t="s">
        <v>42</v>
      </c>
      <c r="C3" s="59" t="s">
        <v>36</v>
      </c>
      <c r="D3" s="59"/>
      <c r="E3" s="59"/>
      <c r="F3" s="23" t="s">
        <v>140</v>
      </c>
      <c r="G3" s="23"/>
      <c r="M3" s="60"/>
    </row>
    <row r="4" spans="1:13" ht="15" customHeight="1" x14ac:dyDescent="0.25">
      <c r="M4" s="61"/>
    </row>
    <row r="5" spans="1:13" s="13" customFormat="1" ht="51" customHeight="1" x14ac:dyDescent="0.25">
      <c r="A5" s="57" t="s">
        <v>40</v>
      </c>
      <c r="B5" s="57" t="s">
        <v>132</v>
      </c>
      <c r="C5" s="57" t="s">
        <v>1</v>
      </c>
      <c r="D5" s="43"/>
      <c r="E5" s="12" t="s">
        <v>5</v>
      </c>
      <c r="F5" s="11" t="s">
        <v>9</v>
      </c>
      <c r="G5" s="11" t="s">
        <v>174</v>
      </c>
      <c r="H5" s="11" t="s">
        <v>7</v>
      </c>
      <c r="I5" s="11" t="s">
        <v>11</v>
      </c>
      <c r="J5" s="11" t="s">
        <v>141</v>
      </c>
      <c r="K5" s="11"/>
      <c r="L5" s="11"/>
      <c r="M5" s="62" t="s">
        <v>170</v>
      </c>
    </row>
    <row r="6" spans="1:13" s="2" customFormat="1" ht="15" customHeight="1" x14ac:dyDescent="0.25">
      <c r="A6" s="58"/>
      <c r="B6" s="58"/>
      <c r="C6" s="58"/>
      <c r="D6" s="44"/>
      <c r="E6" s="19" t="s">
        <v>2</v>
      </c>
      <c r="F6" s="19" t="s">
        <v>8</v>
      </c>
      <c r="G6" s="19" t="s">
        <v>173</v>
      </c>
      <c r="H6" s="19" t="s">
        <v>6</v>
      </c>
      <c r="I6" s="19" t="s">
        <v>10</v>
      </c>
      <c r="J6" s="19" t="s">
        <v>142</v>
      </c>
      <c r="K6" s="19"/>
      <c r="L6" s="19"/>
      <c r="M6" s="63"/>
    </row>
    <row r="7" spans="1:13" ht="15" customHeight="1" x14ac:dyDescent="0.25">
      <c r="A7" s="26">
        <v>1</v>
      </c>
      <c r="B7" s="27" t="str">
        <f>Absensi!B5</f>
        <v>Gudang A</v>
      </c>
      <c r="C7" s="27" t="str">
        <f>Absensi!C5</f>
        <v>Suci Rahmawati</v>
      </c>
      <c r="D7" s="27" t="str">
        <f>B7&amp;C7</f>
        <v>Gudang ASuci Rahmawati</v>
      </c>
      <c r="E7" s="1">
        <f>COUNTIFS(Absensi!$D5:$ND5,Rekap!E$6,Absensi!$D$2:$ND$2,$M$2)</f>
        <v>0</v>
      </c>
      <c r="F7" s="1">
        <f>COUNTIFS(Absensi!$D5:$ND5,Rekap!F$6,Absensi!$D$2:$ND$2,$M$2)</f>
        <v>1</v>
      </c>
      <c r="G7" s="1">
        <f>COUNTIFS(Absensi!$D5:$ND5,Rekap!G$6,Absensi!$D$2:$ND$2,$M$2)</f>
        <v>0</v>
      </c>
      <c r="H7" s="1">
        <f>COUNTIFS(Absensi!$D5:$ND5,Rekap!H$6,Absensi!$D$2:$ND$2,$M$2)</f>
        <v>0</v>
      </c>
      <c r="I7" s="1">
        <f>COUNTIFS(Absensi!$D5:$ND5,Rekap!I$6,Absensi!$D$2:$ND$2,$M$2)</f>
        <v>0</v>
      </c>
      <c r="J7" s="1">
        <f>COUNTIFS(Absensi!$D5:$ND5,Rekap!J$6,Absensi!$D$2:$ND$2,$M$2)</f>
        <v>0</v>
      </c>
      <c r="K7" s="1"/>
      <c r="L7" s="1"/>
      <c r="M7" s="47">
        <f>IF($M$2="01",SUMIF(Test!$D:$D,Rekap!D7,Test!$AC:$AC),IF($M$2="02",SUMIF(Test!$D:$D,Rekap!D7,Test!$AD:$AD),IF($M$2="03",SUMIF(Test!$D:$D,Rekap!D7,Test!$AE:$AE),IF($M$2="04",SUMIF(Test!$D:$D,Rekap!D7,Test!$AF:$AF),IF($M$2="05",SUMIF(Test!$D:$D,Rekap!D7,Test!$AG:$AG),IF($M$2="06",SUMIF(Test!$D:$D,Rekap!D7,Test!$AH:$AH),IF($M$2="07",SUMIF(Test!$D:$D,Rekap!D7,Test!$AI:$AI),IF($M$2="08",SUMIF(Test!$D:$D,Rekap!D7,Test!$AJ:$AJ),IF($M$2="09",SUMIF(Test!$D:$D,Rekap!D7,Test!$AK:$AK),IF($M$2="10",SUMIF(Test!$D:$D,Rekap!D7,Test!$AL:$AL),IF($M$2="11",SUMIF(Test!$D:$D,Rekap!D7,Test!$AM:$AM),IF($M$2="12",SUMIF(Test!$D:$D,Rekap!D7,Test!$AN:$AN),0))))))))))))</f>
        <v>2.5</v>
      </c>
    </row>
    <row r="8" spans="1:13" ht="15" customHeight="1" x14ac:dyDescent="0.25">
      <c r="A8" s="26">
        <v>2</v>
      </c>
      <c r="B8" s="27" t="str">
        <f>Absensi!B6</f>
        <v>Gudang A</v>
      </c>
      <c r="C8" s="27" t="str">
        <f>Absensi!C6</f>
        <v>Nur Octaviani</v>
      </c>
      <c r="D8" s="27" t="str">
        <f t="shared" ref="D8:D71" si="0">B8&amp;C8</f>
        <v>Gudang ANur Octaviani</v>
      </c>
      <c r="E8" s="1">
        <f>COUNTIFS(Absensi!$D6:$ND6,Rekap!E$6,Absensi!$D$2:$ND$2,$M$2)</f>
        <v>0</v>
      </c>
      <c r="F8" s="1">
        <f>COUNTIFS(Absensi!$D6:$ND6,Rekap!F$6,Absensi!$D$2:$ND$2,$M$2)</f>
        <v>0</v>
      </c>
      <c r="G8" s="1">
        <f>COUNTIFS(Absensi!$D6:$ND6,Rekap!G$6,Absensi!$D$2:$ND$2,$M$2)</f>
        <v>1</v>
      </c>
      <c r="H8" s="1">
        <f>COUNTIFS(Absensi!$D6:$ND6,Rekap!H$6,Absensi!$D$2:$ND$2,$M$2)</f>
        <v>0</v>
      </c>
      <c r="I8" s="1">
        <f>COUNTIFS(Absensi!$D6:$ND6,Rekap!I$6,Absensi!$D$2:$ND$2,$M$2)</f>
        <v>0</v>
      </c>
      <c r="J8" s="1">
        <f>COUNTIFS(Absensi!$D6:$ND6,Rekap!J$6,Absensi!$D$2:$ND$2,$M$2)</f>
        <v>0</v>
      </c>
      <c r="K8" s="1"/>
      <c r="L8" s="1"/>
      <c r="M8" s="47">
        <f>IF($M$2="01",SUMIF(Test!$D:$D,Rekap!D8,Test!$AC:$AC),IF($M$2="02",SUMIF(Test!$D:$D,Rekap!D8,Test!$AD:$AD),IF($M$2="03",SUMIF(Test!$D:$D,Rekap!D8,Test!$AE:$AE),IF($M$2="04",SUMIF(Test!$D:$D,Rekap!D8,Test!$AF:$AF),IF($M$2="05",SUMIF(Test!$D:$D,Rekap!D8,Test!$AG:$AG),IF($M$2="06",SUMIF(Test!$D:$D,Rekap!D8,Test!$AH:$AH),IF($M$2="07",SUMIF(Test!$D:$D,Rekap!D8,Test!$AI:$AI),IF($M$2="08",SUMIF(Test!$D:$D,Rekap!D8,Test!$AJ:$AJ),IF($M$2="09",SUMIF(Test!$D:$D,Rekap!D8,Test!$AK:$AK),IF($M$2="10",SUMIF(Test!$D:$D,Rekap!D8,Test!$AL:$AL),IF($M$2="11",SUMIF(Test!$D:$D,Rekap!D8,Test!$AM:$AM),IF($M$2="12",SUMIF(Test!$D:$D,Rekap!D8,Test!$AN:$AN),0))))))))))))</f>
        <v>6.5</v>
      </c>
    </row>
    <row r="9" spans="1:13" ht="15" customHeight="1" x14ac:dyDescent="0.25">
      <c r="A9" s="26">
        <v>3</v>
      </c>
      <c r="B9" s="27" t="str">
        <f>Absensi!B7</f>
        <v>Gudang A</v>
      </c>
      <c r="C9" s="27" t="str">
        <f>Absensi!C7</f>
        <v>M. Farhan</v>
      </c>
      <c r="D9" s="27" t="str">
        <f t="shared" si="0"/>
        <v>Gudang AM. Farhan</v>
      </c>
      <c r="E9" s="1">
        <f>COUNTIFS(Absensi!$D7:$ND7,Rekap!E$6,Absensi!$D$2:$ND$2,$M$2)</f>
        <v>0</v>
      </c>
      <c r="F9" s="1">
        <f>COUNTIFS(Absensi!$D7:$ND7,Rekap!F$6,Absensi!$D$2:$ND$2,$M$2)</f>
        <v>0</v>
      </c>
      <c r="G9" s="1">
        <f>COUNTIFS(Absensi!$D7:$ND7,Rekap!G$6,Absensi!$D$2:$ND$2,$M$2)</f>
        <v>0</v>
      </c>
      <c r="H9" s="1">
        <f>COUNTIFS(Absensi!$D7:$ND7,Rekap!H$6,Absensi!$D$2:$ND$2,$M$2)</f>
        <v>0</v>
      </c>
      <c r="I9" s="1">
        <f>COUNTIFS(Absensi!$D7:$ND7,Rekap!I$6,Absensi!$D$2:$ND$2,$M$2)</f>
        <v>0</v>
      </c>
      <c r="J9" s="1">
        <f>COUNTIFS(Absensi!$D7:$ND7,Rekap!J$6,Absensi!$D$2:$ND$2,$M$2)</f>
        <v>0</v>
      </c>
      <c r="K9" s="1"/>
      <c r="L9" s="1"/>
      <c r="M9" s="47">
        <f>IF($M$2="01",SUMIF(Test!$D:$D,Rekap!D9,Test!$AC:$AC),IF($M$2="02",SUMIF(Test!$D:$D,Rekap!D9,Test!$AD:$AD),IF($M$2="03",SUMIF(Test!$D:$D,Rekap!D9,Test!$AE:$AE),IF($M$2="04",SUMIF(Test!$D:$D,Rekap!D9,Test!$AF:$AF),IF($M$2="05",SUMIF(Test!$D:$D,Rekap!D9,Test!$AG:$AG),IF($M$2="06",SUMIF(Test!$D:$D,Rekap!D9,Test!$AH:$AH),IF($M$2="07",SUMIF(Test!$D:$D,Rekap!D9,Test!$AI:$AI),IF($M$2="08",SUMIF(Test!$D:$D,Rekap!D9,Test!$AJ:$AJ),IF($M$2="09",SUMIF(Test!$D:$D,Rekap!D9,Test!$AK:$AK),IF($M$2="10",SUMIF(Test!$D:$D,Rekap!D9,Test!$AL:$AL),IF($M$2="11",SUMIF(Test!$D:$D,Rekap!D9,Test!$AM:$AM),IF($M$2="12",SUMIF(Test!$D:$D,Rekap!D9,Test!$AN:$AN),0))))))))))))</f>
        <v>4</v>
      </c>
    </row>
    <row r="10" spans="1:13" ht="15.75" customHeight="1" x14ac:dyDescent="0.25">
      <c r="A10" s="26">
        <v>4</v>
      </c>
      <c r="B10" s="27" t="str">
        <f>Absensi!B8</f>
        <v>Gudang A</v>
      </c>
      <c r="C10" s="27" t="str">
        <f>Absensi!C8</f>
        <v>Nadia</v>
      </c>
      <c r="D10" s="27" t="str">
        <f t="shared" si="0"/>
        <v>Gudang ANadia</v>
      </c>
      <c r="E10" s="1">
        <f>COUNTIFS(Absensi!$D8:$ND8,Rekap!E$6,Absensi!$D$2:$ND$2,$M$2)</f>
        <v>0</v>
      </c>
      <c r="F10" s="1">
        <f>COUNTIFS(Absensi!$D8:$ND8,Rekap!F$6,Absensi!$D$2:$ND$2,$M$2)</f>
        <v>0</v>
      </c>
      <c r="G10" s="1">
        <f>COUNTIFS(Absensi!$D8:$ND8,Rekap!G$6,Absensi!$D$2:$ND$2,$M$2)</f>
        <v>0</v>
      </c>
      <c r="H10" s="1">
        <f>COUNTIFS(Absensi!$D8:$ND8,Rekap!H$6,Absensi!$D$2:$ND$2,$M$2)</f>
        <v>0</v>
      </c>
      <c r="I10" s="1">
        <f>COUNTIFS(Absensi!$D8:$ND8,Rekap!I$6,Absensi!$D$2:$ND$2,$M$2)</f>
        <v>0</v>
      </c>
      <c r="J10" s="1">
        <f>COUNTIFS(Absensi!$D8:$ND8,Rekap!J$6,Absensi!$D$2:$ND$2,$M$2)</f>
        <v>0</v>
      </c>
      <c r="K10" s="1"/>
      <c r="L10" s="1"/>
      <c r="M10" s="47">
        <f>IF($M$2="01",SUMIF(Test!$D:$D,Rekap!D10,Test!$AC:$AC),IF($M$2="02",SUMIF(Test!$D:$D,Rekap!D10,Test!$AD:$AD),IF($M$2="03",SUMIF(Test!$D:$D,Rekap!D10,Test!$AE:$AE),IF($M$2="04",SUMIF(Test!$D:$D,Rekap!D10,Test!$AF:$AF),IF($M$2="05",SUMIF(Test!$D:$D,Rekap!D10,Test!$AG:$AG),IF($M$2="06",SUMIF(Test!$D:$D,Rekap!D10,Test!$AH:$AH),IF($M$2="07",SUMIF(Test!$D:$D,Rekap!D10,Test!$AI:$AI),IF($M$2="08",SUMIF(Test!$D:$D,Rekap!D10,Test!$AJ:$AJ),IF($M$2="09",SUMIF(Test!$D:$D,Rekap!D10,Test!$AK:$AK),IF($M$2="10",SUMIF(Test!$D:$D,Rekap!D10,Test!$AL:$AL),IF($M$2="11",SUMIF(Test!$D:$D,Rekap!D10,Test!$AM:$AM),IF($M$2="12",SUMIF(Test!$D:$D,Rekap!D10,Test!$AN:$AN),0))))))))))))</f>
        <v>1.5</v>
      </c>
    </row>
    <row r="11" spans="1:13" ht="15" customHeight="1" x14ac:dyDescent="0.25">
      <c r="A11" s="26">
        <v>5</v>
      </c>
      <c r="B11" s="27" t="str">
        <f>Absensi!B9</f>
        <v>Gudang A</v>
      </c>
      <c r="C11" s="27" t="str">
        <f>Absensi!C9</f>
        <v>Aan Turipno</v>
      </c>
      <c r="D11" s="27" t="str">
        <f t="shared" si="0"/>
        <v>Gudang AAan Turipno</v>
      </c>
      <c r="E11" s="1">
        <f>COUNTIFS(Absensi!$D9:$ND9,Rekap!E$6,Absensi!$D$2:$ND$2,$M$2)</f>
        <v>0</v>
      </c>
      <c r="F11" s="1">
        <f>COUNTIFS(Absensi!$D9:$ND9,Rekap!F$6,Absensi!$D$2:$ND$2,$M$2)</f>
        <v>3</v>
      </c>
      <c r="G11" s="1">
        <f>COUNTIFS(Absensi!$D9:$ND9,Rekap!G$6,Absensi!$D$2:$ND$2,$M$2)</f>
        <v>0</v>
      </c>
      <c r="H11" s="1">
        <f>COUNTIFS(Absensi!$D9:$ND9,Rekap!H$6,Absensi!$D$2:$ND$2,$M$2)</f>
        <v>0</v>
      </c>
      <c r="I11" s="1">
        <f>COUNTIFS(Absensi!$D9:$ND9,Rekap!I$6,Absensi!$D$2:$ND$2,$M$2)</f>
        <v>0</v>
      </c>
      <c r="J11" s="1">
        <f>COUNTIFS(Absensi!$D9:$ND9,Rekap!J$6,Absensi!$D$2:$ND$2,$M$2)</f>
        <v>0</v>
      </c>
      <c r="K11" s="1"/>
      <c r="L11" s="1"/>
      <c r="M11" s="47">
        <f>IF($M$2="01",SUMIF(Test!$D:$D,Rekap!D11,Test!$AC:$AC),IF($M$2="02",SUMIF(Test!$D:$D,Rekap!D11,Test!$AD:$AD),IF($M$2="03",SUMIF(Test!$D:$D,Rekap!D11,Test!$AE:$AE),IF($M$2="04",SUMIF(Test!$D:$D,Rekap!D11,Test!$AF:$AF),IF($M$2="05",SUMIF(Test!$D:$D,Rekap!D11,Test!$AG:$AG),IF($M$2="06",SUMIF(Test!$D:$D,Rekap!D11,Test!$AH:$AH),IF($M$2="07",SUMIF(Test!$D:$D,Rekap!D11,Test!$AI:$AI),IF($M$2="08",SUMIF(Test!$D:$D,Rekap!D11,Test!$AJ:$AJ),IF($M$2="09",SUMIF(Test!$D:$D,Rekap!D11,Test!$AK:$AK),IF($M$2="10",SUMIF(Test!$D:$D,Rekap!D11,Test!$AL:$AL),IF($M$2="11",SUMIF(Test!$D:$D,Rekap!D11,Test!$AM:$AM),IF($M$2="12",SUMIF(Test!$D:$D,Rekap!D11,Test!$AN:$AN),0))))))))))))</f>
        <v>3.5</v>
      </c>
    </row>
    <row r="12" spans="1:13" ht="15" customHeight="1" x14ac:dyDescent="0.25">
      <c r="A12" s="26">
        <v>6</v>
      </c>
      <c r="B12" s="27" t="str">
        <f>Absensi!B10</f>
        <v>Gudang A</v>
      </c>
      <c r="C12" s="27" t="str">
        <f>Absensi!C10</f>
        <v>dika</v>
      </c>
      <c r="D12" s="27" t="str">
        <f t="shared" si="0"/>
        <v>Gudang Adika</v>
      </c>
      <c r="E12" s="1">
        <f>COUNTIFS(Absensi!$D10:$ND10,Rekap!E$6,Absensi!$D$2:$ND$2,$M$2)</f>
        <v>0</v>
      </c>
      <c r="F12" s="1">
        <f>COUNTIFS(Absensi!$D10:$ND10,Rekap!F$6,Absensi!$D$2:$ND$2,$M$2)</f>
        <v>0</v>
      </c>
      <c r="G12" s="1">
        <f>COUNTIFS(Absensi!$D10:$ND10,Rekap!G$6,Absensi!$D$2:$ND$2,$M$2)</f>
        <v>0</v>
      </c>
      <c r="H12" s="1">
        <f>COUNTIFS(Absensi!$D10:$ND10,Rekap!H$6,Absensi!$D$2:$ND$2,$M$2)</f>
        <v>0</v>
      </c>
      <c r="I12" s="1">
        <f>COUNTIFS(Absensi!$D10:$ND10,Rekap!I$6,Absensi!$D$2:$ND$2,$M$2)</f>
        <v>0</v>
      </c>
      <c r="J12" s="1">
        <f>COUNTIFS(Absensi!$D10:$ND10,Rekap!J$6,Absensi!$D$2:$ND$2,$M$2)</f>
        <v>0</v>
      </c>
      <c r="K12" s="1"/>
      <c r="L12" s="1"/>
      <c r="M12" s="47">
        <f>IF($M$2="01",SUMIF(Test!$D:$D,Rekap!D12,Test!$AC:$AC),IF($M$2="02",SUMIF(Test!$D:$D,Rekap!D12,Test!$AD:$AD),IF($M$2="03",SUMIF(Test!$D:$D,Rekap!D12,Test!$AE:$AE),IF($M$2="04",SUMIF(Test!$D:$D,Rekap!D12,Test!$AF:$AF),IF($M$2="05",SUMIF(Test!$D:$D,Rekap!D12,Test!$AG:$AG),IF($M$2="06",SUMIF(Test!$D:$D,Rekap!D12,Test!$AH:$AH),IF($M$2="07",SUMIF(Test!$D:$D,Rekap!D12,Test!$AI:$AI),IF($M$2="08",SUMIF(Test!$D:$D,Rekap!D12,Test!$AJ:$AJ),IF($M$2="09",SUMIF(Test!$D:$D,Rekap!D12,Test!$AK:$AK),IF($M$2="10",SUMIF(Test!$D:$D,Rekap!D12,Test!$AL:$AL),IF($M$2="11",SUMIF(Test!$D:$D,Rekap!D12,Test!$AM:$AM),IF($M$2="12",SUMIF(Test!$D:$D,Rekap!D12,Test!$AN:$AN),0))))))))))))</f>
        <v>2</v>
      </c>
    </row>
    <row r="13" spans="1:13" ht="15" customHeight="1" x14ac:dyDescent="0.25">
      <c r="A13" s="26">
        <v>7</v>
      </c>
      <c r="B13" s="27" t="str">
        <f>Absensi!B11</f>
        <v>Gudang A</v>
      </c>
      <c r="C13" s="27" t="str">
        <f>Absensi!C11</f>
        <v>Mella Hariyati</v>
      </c>
      <c r="D13" s="27" t="str">
        <f t="shared" si="0"/>
        <v>Gudang AMella Hariyati</v>
      </c>
      <c r="E13" s="1">
        <f>COUNTIFS(Absensi!$D11:$ND11,Rekap!E$6,Absensi!$D$2:$ND$2,$M$2)</f>
        <v>0</v>
      </c>
      <c r="F13" s="1">
        <f>COUNTIFS(Absensi!$D11:$ND11,Rekap!F$6,Absensi!$D$2:$ND$2,$M$2)</f>
        <v>0</v>
      </c>
      <c r="G13" s="1">
        <f>COUNTIFS(Absensi!$D11:$ND11,Rekap!G$6,Absensi!$D$2:$ND$2,$M$2)</f>
        <v>0</v>
      </c>
      <c r="H13" s="1">
        <f>COUNTIFS(Absensi!$D11:$ND11,Rekap!H$6,Absensi!$D$2:$ND$2,$M$2)</f>
        <v>0</v>
      </c>
      <c r="I13" s="1">
        <f>COUNTIFS(Absensi!$D11:$ND11,Rekap!I$6,Absensi!$D$2:$ND$2,$M$2)</f>
        <v>0</v>
      </c>
      <c r="J13" s="1">
        <f>COUNTIFS(Absensi!$D11:$ND11,Rekap!J$6,Absensi!$D$2:$ND$2,$M$2)</f>
        <v>0</v>
      </c>
      <c r="K13" s="1"/>
      <c r="L13" s="1"/>
      <c r="M13" s="47">
        <f>IF($M$2="01",SUMIF(Test!$D:$D,Rekap!D13,Test!$AC:$AC),IF($M$2="02",SUMIF(Test!$D:$D,Rekap!D13,Test!$AD:$AD),IF($M$2="03",SUMIF(Test!$D:$D,Rekap!D13,Test!$AE:$AE),IF($M$2="04",SUMIF(Test!$D:$D,Rekap!D13,Test!$AF:$AF),IF($M$2="05",SUMIF(Test!$D:$D,Rekap!D13,Test!$AG:$AG),IF($M$2="06",SUMIF(Test!$D:$D,Rekap!D13,Test!$AH:$AH),IF($M$2="07",SUMIF(Test!$D:$D,Rekap!D13,Test!$AI:$AI),IF($M$2="08",SUMIF(Test!$D:$D,Rekap!D13,Test!$AJ:$AJ),IF($M$2="09",SUMIF(Test!$D:$D,Rekap!D13,Test!$AK:$AK),IF($M$2="10",SUMIF(Test!$D:$D,Rekap!D13,Test!$AL:$AL),IF($M$2="11",SUMIF(Test!$D:$D,Rekap!D13,Test!$AM:$AM),IF($M$2="12",SUMIF(Test!$D:$D,Rekap!D13,Test!$AN:$AN),0))))))))))))</f>
        <v>8</v>
      </c>
    </row>
    <row r="14" spans="1:13" ht="15" customHeight="1" x14ac:dyDescent="0.25">
      <c r="A14" s="26">
        <v>8</v>
      </c>
      <c r="B14" s="27" t="str">
        <f>Absensi!B12</f>
        <v>Gudang A</v>
      </c>
      <c r="C14" s="27" t="str">
        <f>Absensi!C12</f>
        <v>Egi Permana</v>
      </c>
      <c r="D14" s="27" t="str">
        <f t="shared" si="0"/>
        <v>Gudang AEgi Permana</v>
      </c>
      <c r="E14" s="1">
        <f>COUNTIFS(Absensi!$D12:$ND12,Rekap!E$6,Absensi!$D$2:$ND$2,$M$2)</f>
        <v>0</v>
      </c>
      <c r="F14" s="1">
        <f>COUNTIFS(Absensi!$D12:$ND12,Rekap!F$6,Absensi!$D$2:$ND$2,$M$2)</f>
        <v>3</v>
      </c>
      <c r="G14" s="1">
        <f>COUNTIFS(Absensi!$D12:$ND12,Rekap!G$6,Absensi!$D$2:$ND$2,$M$2)</f>
        <v>0</v>
      </c>
      <c r="H14" s="1">
        <f>COUNTIFS(Absensi!$D12:$ND12,Rekap!H$6,Absensi!$D$2:$ND$2,$M$2)</f>
        <v>0</v>
      </c>
      <c r="I14" s="1">
        <f>COUNTIFS(Absensi!$D12:$ND12,Rekap!I$6,Absensi!$D$2:$ND$2,$M$2)</f>
        <v>0</v>
      </c>
      <c r="J14" s="1">
        <f>COUNTIFS(Absensi!$D12:$ND12,Rekap!J$6,Absensi!$D$2:$ND$2,$M$2)</f>
        <v>0</v>
      </c>
      <c r="K14" s="1"/>
      <c r="L14" s="1"/>
      <c r="M14" s="47">
        <f>IF($M$2="01",SUMIF(Test!$D:$D,Rekap!D14,Test!$AC:$AC),IF($M$2="02",SUMIF(Test!$D:$D,Rekap!D14,Test!$AD:$AD),IF($M$2="03",SUMIF(Test!$D:$D,Rekap!D14,Test!$AE:$AE),IF($M$2="04",SUMIF(Test!$D:$D,Rekap!D14,Test!$AF:$AF),IF($M$2="05",SUMIF(Test!$D:$D,Rekap!D14,Test!$AG:$AG),IF($M$2="06",SUMIF(Test!$D:$D,Rekap!D14,Test!$AH:$AH),IF($M$2="07",SUMIF(Test!$D:$D,Rekap!D14,Test!$AI:$AI),IF($M$2="08",SUMIF(Test!$D:$D,Rekap!D14,Test!$AJ:$AJ),IF($M$2="09",SUMIF(Test!$D:$D,Rekap!D14,Test!$AK:$AK),IF($M$2="10",SUMIF(Test!$D:$D,Rekap!D14,Test!$AL:$AL),IF($M$2="11",SUMIF(Test!$D:$D,Rekap!D14,Test!$AM:$AM),IF($M$2="12",SUMIF(Test!$D:$D,Rekap!D14,Test!$AN:$AN),0))))))))))))</f>
        <v>-2</v>
      </c>
    </row>
    <row r="15" spans="1:13" ht="15" customHeight="1" x14ac:dyDescent="0.25">
      <c r="A15" s="26">
        <v>9</v>
      </c>
      <c r="B15" s="27" t="str">
        <f>Absensi!B13</f>
        <v>Gudang A</v>
      </c>
      <c r="C15" s="27" t="str">
        <f>Absensi!C13</f>
        <v>Dede Irawan</v>
      </c>
      <c r="D15" s="27" t="str">
        <f t="shared" si="0"/>
        <v>Gudang ADede Irawan</v>
      </c>
      <c r="E15" s="1">
        <f>COUNTIFS(Absensi!$D13:$ND13,Rekap!E$6,Absensi!$D$2:$ND$2,$M$2)</f>
        <v>0</v>
      </c>
      <c r="F15" s="1">
        <f>COUNTIFS(Absensi!$D13:$ND13,Rekap!F$6,Absensi!$D$2:$ND$2,$M$2)</f>
        <v>1</v>
      </c>
      <c r="G15" s="1">
        <f>COUNTIFS(Absensi!$D13:$ND13,Rekap!G$6,Absensi!$D$2:$ND$2,$M$2)</f>
        <v>0</v>
      </c>
      <c r="H15" s="1">
        <f>COUNTIFS(Absensi!$D13:$ND13,Rekap!H$6,Absensi!$D$2:$ND$2,$M$2)</f>
        <v>0</v>
      </c>
      <c r="I15" s="1">
        <f>COUNTIFS(Absensi!$D13:$ND13,Rekap!I$6,Absensi!$D$2:$ND$2,$M$2)</f>
        <v>0</v>
      </c>
      <c r="J15" s="1">
        <f>COUNTIFS(Absensi!$D13:$ND13,Rekap!J$6,Absensi!$D$2:$ND$2,$M$2)</f>
        <v>0</v>
      </c>
      <c r="K15" s="1"/>
      <c r="L15" s="1"/>
      <c r="M15" s="47">
        <f>IF($M$2="01",SUMIF(Test!$D:$D,Rekap!D15,Test!$AC:$AC),IF($M$2="02",SUMIF(Test!$D:$D,Rekap!D15,Test!$AD:$AD),IF($M$2="03",SUMIF(Test!$D:$D,Rekap!D15,Test!$AE:$AE),IF($M$2="04",SUMIF(Test!$D:$D,Rekap!D15,Test!$AF:$AF),IF($M$2="05",SUMIF(Test!$D:$D,Rekap!D15,Test!$AG:$AG),IF($M$2="06",SUMIF(Test!$D:$D,Rekap!D15,Test!$AH:$AH),IF($M$2="07",SUMIF(Test!$D:$D,Rekap!D15,Test!$AI:$AI),IF($M$2="08",SUMIF(Test!$D:$D,Rekap!D15,Test!$AJ:$AJ),IF($M$2="09",SUMIF(Test!$D:$D,Rekap!D15,Test!$AK:$AK),IF($M$2="10",SUMIF(Test!$D:$D,Rekap!D15,Test!$AL:$AL),IF($M$2="11",SUMIF(Test!$D:$D,Rekap!D15,Test!$AM:$AM),IF($M$2="12",SUMIF(Test!$D:$D,Rekap!D15,Test!$AN:$AN),0))))))))))))</f>
        <v>3</v>
      </c>
    </row>
    <row r="16" spans="1:13" ht="15" customHeight="1" x14ac:dyDescent="0.25">
      <c r="A16" s="26">
        <v>10</v>
      </c>
      <c r="B16" s="27" t="str">
        <f>Absensi!B14</f>
        <v>Gudang A</v>
      </c>
      <c r="C16" s="27" t="str">
        <f>Absensi!C14</f>
        <v>eri mutaqin</v>
      </c>
      <c r="D16" s="27" t="str">
        <f t="shared" si="0"/>
        <v>Gudang Aeri mutaqin</v>
      </c>
      <c r="E16" s="1">
        <f>COUNTIFS(Absensi!$D14:$ND14,Rekap!E$6,Absensi!$D$2:$ND$2,$M$2)</f>
        <v>0</v>
      </c>
      <c r="F16" s="1">
        <f>COUNTIFS(Absensi!$D14:$ND14,Rekap!F$6,Absensi!$D$2:$ND$2,$M$2)</f>
        <v>2</v>
      </c>
      <c r="G16" s="1">
        <f>COUNTIFS(Absensi!$D14:$ND14,Rekap!G$6,Absensi!$D$2:$ND$2,$M$2)</f>
        <v>0</v>
      </c>
      <c r="H16" s="1">
        <f>COUNTIFS(Absensi!$D14:$ND14,Rekap!H$6,Absensi!$D$2:$ND$2,$M$2)</f>
        <v>0</v>
      </c>
      <c r="I16" s="1">
        <f>COUNTIFS(Absensi!$D14:$ND14,Rekap!I$6,Absensi!$D$2:$ND$2,$M$2)</f>
        <v>0</v>
      </c>
      <c r="J16" s="1">
        <f>COUNTIFS(Absensi!$D14:$ND14,Rekap!J$6,Absensi!$D$2:$ND$2,$M$2)</f>
        <v>0</v>
      </c>
      <c r="K16" s="1"/>
      <c r="L16" s="1"/>
      <c r="M16" s="47">
        <f>IF($M$2="01",SUMIF(Test!$D:$D,Rekap!D16,Test!$AC:$AC),IF($M$2="02",SUMIF(Test!$D:$D,Rekap!D16,Test!$AD:$AD),IF($M$2="03",SUMIF(Test!$D:$D,Rekap!D16,Test!$AE:$AE),IF($M$2="04",SUMIF(Test!$D:$D,Rekap!D16,Test!$AF:$AF),IF($M$2="05",SUMIF(Test!$D:$D,Rekap!D16,Test!$AG:$AG),IF($M$2="06",SUMIF(Test!$D:$D,Rekap!D16,Test!$AH:$AH),IF($M$2="07",SUMIF(Test!$D:$D,Rekap!D16,Test!$AI:$AI),IF($M$2="08",SUMIF(Test!$D:$D,Rekap!D16,Test!$AJ:$AJ),IF($M$2="09",SUMIF(Test!$D:$D,Rekap!D16,Test!$AK:$AK),IF($M$2="10",SUMIF(Test!$D:$D,Rekap!D16,Test!$AL:$AL),IF($M$2="11",SUMIF(Test!$D:$D,Rekap!D16,Test!$AM:$AM),IF($M$2="12",SUMIF(Test!$D:$D,Rekap!D16,Test!$AN:$AN),0))))))))))))</f>
        <v>5</v>
      </c>
    </row>
    <row r="17" spans="1:13" ht="15" customHeight="1" x14ac:dyDescent="0.25">
      <c r="A17" s="26">
        <v>11</v>
      </c>
      <c r="B17" s="27" t="str">
        <f>Absensi!B15</f>
        <v>Gudang A</v>
      </c>
      <c r="C17" s="27" t="str">
        <f>Absensi!C15</f>
        <v>Fiqri Amirulloh Maulidan</v>
      </c>
      <c r="D17" s="27" t="str">
        <f t="shared" si="0"/>
        <v>Gudang AFiqri Amirulloh Maulidan</v>
      </c>
      <c r="E17" s="1">
        <f>COUNTIFS(Absensi!$D15:$ND15,Rekap!E$6,Absensi!$D$2:$ND$2,$M$2)</f>
        <v>0</v>
      </c>
      <c r="F17" s="1">
        <f>COUNTIFS(Absensi!$D15:$ND15,Rekap!F$6,Absensi!$D$2:$ND$2,$M$2)</f>
        <v>0</v>
      </c>
      <c r="G17" s="1">
        <f>COUNTIFS(Absensi!$D15:$ND15,Rekap!G$6,Absensi!$D$2:$ND$2,$M$2)</f>
        <v>0</v>
      </c>
      <c r="H17" s="1">
        <f>COUNTIFS(Absensi!$D15:$ND15,Rekap!H$6,Absensi!$D$2:$ND$2,$M$2)</f>
        <v>0</v>
      </c>
      <c r="I17" s="1">
        <f>COUNTIFS(Absensi!$D15:$ND15,Rekap!I$6,Absensi!$D$2:$ND$2,$M$2)</f>
        <v>0</v>
      </c>
      <c r="J17" s="1">
        <f>COUNTIFS(Absensi!$D15:$ND15,Rekap!J$6,Absensi!$D$2:$ND$2,$M$2)</f>
        <v>0</v>
      </c>
      <c r="K17" s="1"/>
      <c r="L17" s="1"/>
      <c r="M17" s="47">
        <f>IF($M$2="01",SUMIF(Test!$D:$D,Rekap!D17,Test!$AC:$AC),IF($M$2="02",SUMIF(Test!$D:$D,Rekap!D17,Test!$AD:$AD),IF($M$2="03",SUMIF(Test!$D:$D,Rekap!D17,Test!$AE:$AE),IF($M$2="04",SUMIF(Test!$D:$D,Rekap!D17,Test!$AF:$AF),IF($M$2="05",SUMIF(Test!$D:$D,Rekap!D17,Test!$AG:$AG),IF($M$2="06",SUMIF(Test!$D:$D,Rekap!D17,Test!$AH:$AH),IF($M$2="07",SUMIF(Test!$D:$D,Rekap!D17,Test!$AI:$AI),IF($M$2="08",SUMIF(Test!$D:$D,Rekap!D17,Test!$AJ:$AJ),IF($M$2="09",SUMIF(Test!$D:$D,Rekap!D17,Test!$AK:$AK),IF($M$2="10",SUMIF(Test!$D:$D,Rekap!D17,Test!$AL:$AL),IF($M$2="11",SUMIF(Test!$D:$D,Rekap!D17,Test!$AM:$AM),IF($M$2="12",SUMIF(Test!$D:$D,Rekap!D17,Test!$AN:$AN),0))))))))))))</f>
        <v>9</v>
      </c>
    </row>
    <row r="18" spans="1:13" ht="15" customHeight="1" x14ac:dyDescent="0.25">
      <c r="A18" s="26">
        <v>12</v>
      </c>
      <c r="B18" s="27" t="str">
        <f>Absensi!B16</f>
        <v>Gudang A</v>
      </c>
      <c r="C18" s="53" t="str">
        <f>Absensi!C16</f>
        <v>Jihan</v>
      </c>
      <c r="D18" s="27" t="str">
        <f t="shared" si="0"/>
        <v>Gudang AJihan</v>
      </c>
      <c r="E18" s="1">
        <f>COUNTIFS(Absensi!$D16:$ND16,Rekap!E$6,Absensi!$D$2:$ND$2,$M$2)</f>
        <v>0</v>
      </c>
      <c r="F18" s="1">
        <f>COUNTIFS(Absensi!$D16:$ND16,Rekap!F$6,Absensi!$D$2:$ND$2,$M$2)</f>
        <v>0</v>
      </c>
      <c r="G18" s="1">
        <f>COUNTIFS(Absensi!$D16:$ND16,Rekap!G$6,Absensi!$D$2:$ND$2,$M$2)</f>
        <v>0</v>
      </c>
      <c r="H18" s="1">
        <f>COUNTIFS(Absensi!$D16:$ND16,Rekap!H$6,Absensi!$D$2:$ND$2,$M$2)</f>
        <v>0</v>
      </c>
      <c r="I18" s="1">
        <f>COUNTIFS(Absensi!$D16:$ND16,Rekap!I$6,Absensi!$D$2:$ND$2,$M$2)</f>
        <v>0</v>
      </c>
      <c r="J18" s="1">
        <f>COUNTIFS(Absensi!$D16:$ND16,Rekap!J$6,Absensi!$D$2:$ND$2,$M$2)</f>
        <v>0</v>
      </c>
      <c r="K18" s="1"/>
      <c r="L18" s="1"/>
      <c r="M18" s="47">
        <f>IF($M$2="01",SUMIF(Test!$D:$D,Rekap!D18,Test!$AC:$AC),IF($M$2="02",SUMIF(Test!$D:$D,Rekap!D18,Test!$AD:$AD),IF($M$2="03",SUMIF(Test!$D:$D,Rekap!D18,Test!$AE:$AE),IF($M$2="04",SUMIF(Test!$D:$D,Rekap!D18,Test!$AF:$AF),IF($M$2="05",SUMIF(Test!$D:$D,Rekap!D18,Test!$AG:$AG),IF($M$2="06",SUMIF(Test!$D:$D,Rekap!D18,Test!$AH:$AH),IF($M$2="07",SUMIF(Test!$D:$D,Rekap!D18,Test!$AI:$AI),IF($M$2="08",SUMIF(Test!$D:$D,Rekap!D18,Test!$AJ:$AJ),IF($M$2="09",SUMIF(Test!$D:$D,Rekap!D18,Test!$AK:$AK),IF($M$2="10",SUMIF(Test!$D:$D,Rekap!D18,Test!$AL:$AL),IF($M$2="11",SUMIF(Test!$D:$D,Rekap!D18,Test!$AM:$AM),IF($M$2="12",SUMIF(Test!$D:$D,Rekap!D18,Test!$AN:$AN),0))))))))))))</f>
        <v>9.5</v>
      </c>
    </row>
    <row r="19" spans="1:13" ht="15" customHeight="1" x14ac:dyDescent="0.25">
      <c r="A19" s="26">
        <v>13</v>
      </c>
      <c r="B19" s="27" t="str">
        <f>Absensi!B17</f>
        <v>Gudang A</v>
      </c>
      <c r="C19" s="27" t="str">
        <f>Absensi!C17</f>
        <v>Samawi</v>
      </c>
      <c r="D19" s="27" t="str">
        <f t="shared" si="0"/>
        <v>Gudang ASamawi</v>
      </c>
      <c r="E19" s="1">
        <f>COUNTIFS(Absensi!$D17:$ND17,Rekap!E$6,Absensi!$D$2:$ND$2,$M$2)</f>
        <v>0</v>
      </c>
      <c r="F19" s="1">
        <f>COUNTIFS(Absensi!$D17:$ND17,Rekap!F$6,Absensi!$D$2:$ND$2,$M$2)</f>
        <v>0</v>
      </c>
      <c r="G19" s="1">
        <f>COUNTIFS(Absensi!$D17:$ND17,Rekap!G$6,Absensi!$D$2:$ND$2,$M$2)</f>
        <v>0</v>
      </c>
      <c r="H19" s="1">
        <f>COUNTIFS(Absensi!$D17:$ND17,Rekap!H$6,Absensi!$D$2:$ND$2,$M$2)</f>
        <v>0</v>
      </c>
      <c r="I19" s="1">
        <f>COUNTIFS(Absensi!$D17:$ND17,Rekap!I$6,Absensi!$D$2:$ND$2,$M$2)</f>
        <v>0</v>
      </c>
      <c r="J19" s="1">
        <f>COUNTIFS(Absensi!$D17:$ND17,Rekap!J$6,Absensi!$D$2:$ND$2,$M$2)</f>
        <v>0</v>
      </c>
      <c r="K19" s="1"/>
      <c r="L19" s="1"/>
      <c r="M19" s="47">
        <f>IF($M$2="01",SUMIF(Test!$D:$D,Rekap!D19,Test!$AC:$AC),IF($M$2="02",SUMIF(Test!$D:$D,Rekap!D19,Test!$AD:$AD),IF($M$2="03",SUMIF(Test!$D:$D,Rekap!D19,Test!$AE:$AE),IF($M$2="04",SUMIF(Test!$D:$D,Rekap!D19,Test!$AF:$AF),IF($M$2="05",SUMIF(Test!$D:$D,Rekap!D19,Test!$AG:$AG),IF($M$2="06",SUMIF(Test!$D:$D,Rekap!D19,Test!$AH:$AH),IF($M$2="07",SUMIF(Test!$D:$D,Rekap!D19,Test!$AI:$AI),IF($M$2="08",SUMIF(Test!$D:$D,Rekap!D19,Test!$AJ:$AJ),IF($M$2="09",SUMIF(Test!$D:$D,Rekap!D19,Test!$AK:$AK),IF($M$2="10",SUMIF(Test!$D:$D,Rekap!D19,Test!$AL:$AL),IF($M$2="11",SUMIF(Test!$D:$D,Rekap!D19,Test!$AM:$AM),IF($M$2="12",SUMIF(Test!$D:$D,Rekap!D19,Test!$AN:$AN),0))))))))))))</f>
        <v>4</v>
      </c>
    </row>
    <row r="20" spans="1:13" ht="15" customHeight="1" x14ac:dyDescent="0.25">
      <c r="A20" s="26">
        <v>14</v>
      </c>
      <c r="B20" s="27" t="str">
        <f>Absensi!B18</f>
        <v>Gudang A</v>
      </c>
      <c r="C20" s="53" t="str">
        <f>Absensi!C18</f>
        <v>Guruh Fathur Rohman</v>
      </c>
      <c r="D20" s="27" t="str">
        <f t="shared" si="0"/>
        <v>Gudang AGuruh Fathur Rohman</v>
      </c>
      <c r="E20" s="1">
        <f>COUNTIFS(Absensi!$D18:$ND18,Rekap!E$6,Absensi!$D$2:$ND$2,$M$2)</f>
        <v>0</v>
      </c>
      <c r="F20" s="1">
        <f>COUNTIFS(Absensi!$D18:$ND18,Rekap!F$6,Absensi!$D$2:$ND$2,$M$2)</f>
        <v>0</v>
      </c>
      <c r="G20" s="1">
        <f>COUNTIFS(Absensi!$D18:$ND18,Rekap!G$6,Absensi!$D$2:$ND$2,$M$2)</f>
        <v>0</v>
      </c>
      <c r="H20" s="1">
        <f>COUNTIFS(Absensi!$D18:$ND18,Rekap!H$6,Absensi!$D$2:$ND$2,$M$2)</f>
        <v>0</v>
      </c>
      <c r="I20" s="1">
        <f>COUNTIFS(Absensi!$D18:$ND18,Rekap!I$6,Absensi!$D$2:$ND$2,$M$2)</f>
        <v>0</v>
      </c>
      <c r="J20" s="1">
        <f>COUNTIFS(Absensi!$D18:$ND18,Rekap!J$6,Absensi!$D$2:$ND$2,$M$2)</f>
        <v>0</v>
      </c>
      <c r="K20" s="1"/>
      <c r="L20" s="1"/>
      <c r="M20" s="47">
        <f>IF($M$2="01",SUMIF(Test!$D:$D,Rekap!D20,Test!$AC:$AC),IF($M$2="02",SUMIF(Test!$D:$D,Rekap!D20,Test!$AD:$AD),IF($M$2="03",SUMIF(Test!$D:$D,Rekap!D20,Test!$AE:$AE),IF($M$2="04",SUMIF(Test!$D:$D,Rekap!D20,Test!$AF:$AF),IF($M$2="05",SUMIF(Test!$D:$D,Rekap!D20,Test!$AG:$AG),IF($M$2="06",SUMIF(Test!$D:$D,Rekap!D20,Test!$AH:$AH),IF($M$2="07",SUMIF(Test!$D:$D,Rekap!D20,Test!$AI:$AI),IF($M$2="08",SUMIF(Test!$D:$D,Rekap!D20,Test!$AJ:$AJ),IF($M$2="09",SUMIF(Test!$D:$D,Rekap!D20,Test!$AK:$AK),IF($M$2="10",SUMIF(Test!$D:$D,Rekap!D20,Test!$AL:$AL),IF($M$2="11",SUMIF(Test!$D:$D,Rekap!D20,Test!$AM:$AM),IF($M$2="12",SUMIF(Test!$D:$D,Rekap!D20,Test!$AN:$AN),0))))))))))))</f>
        <v>9</v>
      </c>
    </row>
    <row r="21" spans="1:13" ht="15" customHeight="1" x14ac:dyDescent="0.25">
      <c r="A21" s="26">
        <v>15</v>
      </c>
      <c r="B21" s="27" t="str">
        <f>Absensi!B19</f>
        <v>Gudang A</v>
      </c>
      <c r="C21" s="53" t="str">
        <f>Absensi!C19</f>
        <v>Rizal Tajali Akbar</v>
      </c>
      <c r="D21" s="27" t="str">
        <f t="shared" si="0"/>
        <v>Gudang ARizal Tajali Akbar</v>
      </c>
      <c r="E21" s="1">
        <f>COUNTIFS(Absensi!$D19:$ND19,Rekap!E$6,Absensi!$D$2:$ND$2,$M$2)</f>
        <v>0</v>
      </c>
      <c r="F21" s="1">
        <f>COUNTIFS(Absensi!$D19:$ND19,Rekap!F$6,Absensi!$D$2:$ND$2,$M$2)</f>
        <v>0</v>
      </c>
      <c r="G21" s="1">
        <f>COUNTIFS(Absensi!$D19:$ND19,Rekap!G$6,Absensi!$D$2:$ND$2,$M$2)</f>
        <v>0</v>
      </c>
      <c r="H21" s="1">
        <f>COUNTIFS(Absensi!$D19:$ND19,Rekap!H$6,Absensi!$D$2:$ND$2,$M$2)</f>
        <v>0</v>
      </c>
      <c r="I21" s="1">
        <f>COUNTIFS(Absensi!$D19:$ND19,Rekap!I$6,Absensi!$D$2:$ND$2,$M$2)</f>
        <v>0</v>
      </c>
      <c r="J21" s="1">
        <f>COUNTIFS(Absensi!$D19:$ND19,Rekap!J$6,Absensi!$D$2:$ND$2,$M$2)</f>
        <v>0</v>
      </c>
      <c r="K21" s="1"/>
      <c r="L21" s="1"/>
      <c r="M21" s="47">
        <f>IF($M$2="01",SUMIF(Test!$D:$D,Rekap!D21,Test!$AC:$AC),IF($M$2="02",SUMIF(Test!$D:$D,Rekap!D21,Test!$AD:$AD),IF($M$2="03",SUMIF(Test!$D:$D,Rekap!D21,Test!$AE:$AE),IF($M$2="04",SUMIF(Test!$D:$D,Rekap!D21,Test!$AF:$AF),IF($M$2="05",SUMIF(Test!$D:$D,Rekap!D21,Test!$AG:$AG),IF($M$2="06",SUMIF(Test!$D:$D,Rekap!D21,Test!$AH:$AH),IF($M$2="07",SUMIF(Test!$D:$D,Rekap!D21,Test!$AI:$AI),IF($M$2="08",SUMIF(Test!$D:$D,Rekap!D21,Test!$AJ:$AJ),IF($M$2="09",SUMIF(Test!$D:$D,Rekap!D21,Test!$AK:$AK),IF($M$2="10",SUMIF(Test!$D:$D,Rekap!D21,Test!$AL:$AL),IF($M$2="11",SUMIF(Test!$D:$D,Rekap!D21,Test!$AM:$AM),IF($M$2="12",SUMIF(Test!$D:$D,Rekap!D21,Test!$AN:$AN),0))))))))))))</f>
        <v>-1</v>
      </c>
    </row>
    <row r="22" spans="1:13" ht="15" customHeight="1" x14ac:dyDescent="0.25">
      <c r="A22" s="26">
        <v>16</v>
      </c>
      <c r="B22" s="27" t="str">
        <f>Absensi!B20</f>
        <v>Gudang A</v>
      </c>
      <c r="C22" s="27" t="str">
        <f>Absensi!C20</f>
        <v>Amrullah</v>
      </c>
      <c r="D22" s="27" t="str">
        <f t="shared" si="0"/>
        <v>Gudang AAmrullah</v>
      </c>
      <c r="E22" s="1">
        <f>COUNTIFS(Absensi!$D20:$ND20,Rekap!E$6,Absensi!$D$2:$ND$2,$M$2)</f>
        <v>0</v>
      </c>
      <c r="F22" s="1">
        <f>COUNTIFS(Absensi!$D20:$ND20,Rekap!F$6,Absensi!$D$2:$ND$2,$M$2)</f>
        <v>0</v>
      </c>
      <c r="G22" s="1">
        <f>COUNTIFS(Absensi!$D20:$ND20,Rekap!G$6,Absensi!$D$2:$ND$2,$M$2)</f>
        <v>0</v>
      </c>
      <c r="H22" s="1">
        <f>COUNTIFS(Absensi!$D20:$ND20,Rekap!H$6,Absensi!$D$2:$ND$2,$M$2)</f>
        <v>0</v>
      </c>
      <c r="I22" s="1">
        <f>COUNTIFS(Absensi!$D20:$ND20,Rekap!I$6,Absensi!$D$2:$ND$2,$M$2)</f>
        <v>0</v>
      </c>
      <c r="J22" s="1">
        <f>COUNTIFS(Absensi!$D20:$ND20,Rekap!J$6,Absensi!$D$2:$ND$2,$M$2)</f>
        <v>0</v>
      </c>
      <c r="K22" s="1"/>
      <c r="L22" s="1"/>
      <c r="M22" s="47">
        <f>IF($M$2="01",SUMIF(Test!$D:$D,Rekap!D22,Test!$AC:$AC),IF($M$2="02",SUMIF(Test!$D:$D,Rekap!D22,Test!$AD:$AD),IF($M$2="03",SUMIF(Test!$D:$D,Rekap!D22,Test!$AE:$AE),IF($M$2="04",SUMIF(Test!$D:$D,Rekap!D22,Test!$AF:$AF),IF($M$2="05",SUMIF(Test!$D:$D,Rekap!D22,Test!$AG:$AG),IF($M$2="06",SUMIF(Test!$D:$D,Rekap!D22,Test!$AH:$AH),IF($M$2="07",SUMIF(Test!$D:$D,Rekap!D22,Test!$AI:$AI),IF($M$2="08",SUMIF(Test!$D:$D,Rekap!D22,Test!$AJ:$AJ),IF($M$2="09",SUMIF(Test!$D:$D,Rekap!D22,Test!$AK:$AK),IF($M$2="10",SUMIF(Test!$D:$D,Rekap!D22,Test!$AL:$AL),IF($M$2="11",SUMIF(Test!$D:$D,Rekap!D22,Test!$AM:$AM),IF($M$2="12",SUMIF(Test!$D:$D,Rekap!D22,Test!$AN:$AN),0))))))))))))</f>
        <v>9</v>
      </c>
    </row>
    <row r="23" spans="1:13" ht="15" customHeight="1" x14ac:dyDescent="0.25">
      <c r="A23" s="26">
        <v>17</v>
      </c>
      <c r="B23" s="27" t="str">
        <f>Absensi!B21</f>
        <v>Gudang A</v>
      </c>
      <c r="C23" s="27" t="str">
        <f>Absensi!C21</f>
        <v>Dede Komarudin</v>
      </c>
      <c r="D23" s="27" t="str">
        <f t="shared" si="0"/>
        <v>Gudang ADede Komarudin</v>
      </c>
      <c r="E23" s="1">
        <f>COUNTIFS(Absensi!$D21:$ND21,Rekap!E$6,Absensi!$D$2:$ND$2,$M$2)</f>
        <v>0</v>
      </c>
      <c r="F23" s="1">
        <f>COUNTIFS(Absensi!$D21:$ND21,Rekap!F$6,Absensi!$D$2:$ND$2,$M$2)</f>
        <v>0</v>
      </c>
      <c r="G23" s="1">
        <f>COUNTIFS(Absensi!$D21:$ND21,Rekap!G$6,Absensi!$D$2:$ND$2,$M$2)</f>
        <v>0</v>
      </c>
      <c r="H23" s="1">
        <f>COUNTIFS(Absensi!$D21:$ND21,Rekap!H$6,Absensi!$D$2:$ND$2,$M$2)</f>
        <v>0</v>
      </c>
      <c r="I23" s="1">
        <f>COUNTIFS(Absensi!$D21:$ND21,Rekap!I$6,Absensi!$D$2:$ND$2,$M$2)</f>
        <v>0</v>
      </c>
      <c r="J23" s="1">
        <f>COUNTIFS(Absensi!$D21:$ND21,Rekap!J$6,Absensi!$D$2:$ND$2,$M$2)</f>
        <v>0</v>
      </c>
      <c r="K23" s="1"/>
      <c r="L23" s="1"/>
      <c r="M23" s="47">
        <f>IF($M$2="01",SUMIF(Test!$D:$D,Rekap!D23,Test!$AC:$AC),IF($M$2="02",SUMIF(Test!$D:$D,Rekap!D23,Test!$AD:$AD),IF($M$2="03",SUMIF(Test!$D:$D,Rekap!D23,Test!$AE:$AE),IF($M$2="04",SUMIF(Test!$D:$D,Rekap!D23,Test!$AF:$AF),IF($M$2="05",SUMIF(Test!$D:$D,Rekap!D23,Test!$AG:$AG),IF($M$2="06",SUMIF(Test!$D:$D,Rekap!D23,Test!$AH:$AH),IF($M$2="07",SUMIF(Test!$D:$D,Rekap!D23,Test!$AI:$AI),IF($M$2="08",SUMIF(Test!$D:$D,Rekap!D23,Test!$AJ:$AJ),IF($M$2="09",SUMIF(Test!$D:$D,Rekap!D23,Test!$AK:$AK),IF($M$2="10",SUMIF(Test!$D:$D,Rekap!D23,Test!$AL:$AL),IF($M$2="11",SUMIF(Test!$D:$D,Rekap!D23,Test!$AM:$AM),IF($M$2="12",SUMIF(Test!$D:$D,Rekap!D23,Test!$AN:$AN),0))))))))))))</f>
        <v>3.5</v>
      </c>
    </row>
    <row r="24" spans="1:13" ht="15" customHeight="1" x14ac:dyDescent="0.25">
      <c r="A24" s="26">
        <v>18</v>
      </c>
      <c r="B24" s="27" t="str">
        <f>Absensi!B22</f>
        <v>Gudang A</v>
      </c>
      <c r="C24" s="27" t="str">
        <f>Absensi!C22</f>
        <v>Isti Rofah</v>
      </c>
      <c r="D24" s="27" t="str">
        <f t="shared" si="0"/>
        <v>Gudang AIsti Rofah</v>
      </c>
      <c r="E24" s="1">
        <f>COUNTIFS(Absensi!$D22:$ND22,Rekap!E$6,Absensi!$D$2:$ND$2,$M$2)</f>
        <v>0</v>
      </c>
      <c r="F24" s="1">
        <f>COUNTIFS(Absensi!$D22:$ND22,Rekap!F$6,Absensi!$D$2:$ND$2,$M$2)</f>
        <v>0</v>
      </c>
      <c r="G24" s="1">
        <f>COUNTIFS(Absensi!$D22:$ND22,Rekap!G$6,Absensi!$D$2:$ND$2,$M$2)</f>
        <v>0</v>
      </c>
      <c r="H24" s="1">
        <f>COUNTIFS(Absensi!$D22:$ND22,Rekap!H$6,Absensi!$D$2:$ND$2,$M$2)</f>
        <v>0</v>
      </c>
      <c r="I24" s="1">
        <f>COUNTIFS(Absensi!$D22:$ND22,Rekap!I$6,Absensi!$D$2:$ND$2,$M$2)</f>
        <v>0</v>
      </c>
      <c r="J24" s="1">
        <f>COUNTIFS(Absensi!$D22:$ND22,Rekap!J$6,Absensi!$D$2:$ND$2,$M$2)</f>
        <v>0</v>
      </c>
      <c r="K24" s="1"/>
      <c r="L24" s="1"/>
      <c r="M24" s="47">
        <f>IF($M$2="01",SUMIF(Test!$D:$D,Rekap!D24,Test!$AC:$AC),IF($M$2="02",SUMIF(Test!$D:$D,Rekap!D24,Test!$AD:$AD),IF($M$2="03",SUMIF(Test!$D:$D,Rekap!D24,Test!$AE:$AE),IF($M$2="04",SUMIF(Test!$D:$D,Rekap!D24,Test!$AF:$AF),IF($M$2="05",SUMIF(Test!$D:$D,Rekap!D24,Test!$AG:$AG),IF($M$2="06",SUMIF(Test!$D:$D,Rekap!D24,Test!$AH:$AH),IF($M$2="07",SUMIF(Test!$D:$D,Rekap!D24,Test!$AI:$AI),IF($M$2="08",SUMIF(Test!$D:$D,Rekap!D24,Test!$AJ:$AJ),IF($M$2="09",SUMIF(Test!$D:$D,Rekap!D24,Test!$AK:$AK),IF($M$2="10",SUMIF(Test!$D:$D,Rekap!D24,Test!$AL:$AL),IF($M$2="11",SUMIF(Test!$D:$D,Rekap!D24,Test!$AM:$AM),IF($M$2="12",SUMIF(Test!$D:$D,Rekap!D24,Test!$AN:$AN),0))))))))))))</f>
        <v>4.5</v>
      </c>
    </row>
    <row r="25" spans="1:13" ht="15" customHeight="1" x14ac:dyDescent="0.25">
      <c r="A25" s="26">
        <v>19</v>
      </c>
      <c r="B25" s="27" t="str">
        <f>Absensi!B23</f>
        <v>Gudang A</v>
      </c>
      <c r="C25" s="27" t="str">
        <f>Absensi!C23</f>
        <v>Muhammad Ihsan Iswahyudi</v>
      </c>
      <c r="D25" s="27" t="str">
        <f t="shared" si="0"/>
        <v>Gudang AMuhammad Ihsan Iswahyudi</v>
      </c>
      <c r="E25" s="1">
        <f>COUNTIFS(Absensi!$D23:$ND23,Rekap!E$6,Absensi!$D$2:$ND$2,$M$2)</f>
        <v>0</v>
      </c>
      <c r="F25" s="1">
        <f>COUNTIFS(Absensi!$D23:$ND23,Rekap!F$6,Absensi!$D$2:$ND$2,$M$2)</f>
        <v>0</v>
      </c>
      <c r="G25" s="1">
        <f>COUNTIFS(Absensi!$D23:$ND23,Rekap!G$6,Absensi!$D$2:$ND$2,$M$2)</f>
        <v>0</v>
      </c>
      <c r="H25" s="1">
        <f>COUNTIFS(Absensi!$D23:$ND23,Rekap!H$6,Absensi!$D$2:$ND$2,$M$2)</f>
        <v>0</v>
      </c>
      <c r="I25" s="1">
        <f>COUNTIFS(Absensi!$D23:$ND23,Rekap!I$6,Absensi!$D$2:$ND$2,$M$2)</f>
        <v>0</v>
      </c>
      <c r="J25" s="1">
        <f>COUNTIFS(Absensi!$D23:$ND23,Rekap!J$6,Absensi!$D$2:$ND$2,$M$2)</f>
        <v>0</v>
      </c>
      <c r="K25" s="1"/>
      <c r="L25" s="1"/>
      <c r="M25" s="47">
        <f>IF($M$2="01",SUMIF(Test!$D:$D,Rekap!D25,Test!$AC:$AC),IF($M$2="02",SUMIF(Test!$D:$D,Rekap!D25,Test!$AD:$AD),IF($M$2="03",SUMIF(Test!$D:$D,Rekap!D25,Test!$AE:$AE),IF($M$2="04",SUMIF(Test!$D:$D,Rekap!D25,Test!$AF:$AF),IF($M$2="05",SUMIF(Test!$D:$D,Rekap!D25,Test!$AG:$AG),IF($M$2="06",SUMIF(Test!$D:$D,Rekap!D25,Test!$AH:$AH),IF($M$2="07",SUMIF(Test!$D:$D,Rekap!D25,Test!$AI:$AI),IF($M$2="08",SUMIF(Test!$D:$D,Rekap!D25,Test!$AJ:$AJ),IF($M$2="09",SUMIF(Test!$D:$D,Rekap!D25,Test!$AK:$AK),IF($M$2="10",SUMIF(Test!$D:$D,Rekap!D25,Test!$AL:$AL),IF($M$2="11",SUMIF(Test!$D:$D,Rekap!D25,Test!$AM:$AM),IF($M$2="12",SUMIF(Test!$D:$D,Rekap!D25,Test!$AN:$AN),0))))))))))))</f>
        <v>1</v>
      </c>
    </row>
    <row r="26" spans="1:13" ht="15" customHeight="1" x14ac:dyDescent="0.25">
      <c r="A26" s="26">
        <v>20</v>
      </c>
      <c r="B26" s="27" t="str">
        <f>Absensi!B24</f>
        <v>Gudang A</v>
      </c>
      <c r="C26" s="27" t="str">
        <f>Absensi!C24</f>
        <v>Iwan Setiawan</v>
      </c>
      <c r="D26" s="27" t="str">
        <f t="shared" si="0"/>
        <v>Gudang AIwan Setiawan</v>
      </c>
      <c r="E26" s="1">
        <f>COUNTIFS(Absensi!$D24:$ND24,Rekap!E$6,Absensi!$D$2:$ND$2,$M$2)</f>
        <v>0</v>
      </c>
      <c r="F26" s="1">
        <f>COUNTIFS(Absensi!$D24:$ND24,Rekap!F$6,Absensi!$D$2:$ND$2,$M$2)</f>
        <v>0</v>
      </c>
      <c r="G26" s="1">
        <f>COUNTIFS(Absensi!$D24:$ND24,Rekap!G$6,Absensi!$D$2:$ND$2,$M$2)</f>
        <v>0</v>
      </c>
      <c r="H26" s="1">
        <f>COUNTIFS(Absensi!$D24:$ND24,Rekap!H$6,Absensi!$D$2:$ND$2,$M$2)</f>
        <v>0</v>
      </c>
      <c r="I26" s="1">
        <f>COUNTIFS(Absensi!$D24:$ND24,Rekap!I$6,Absensi!$D$2:$ND$2,$M$2)</f>
        <v>0</v>
      </c>
      <c r="J26" s="1">
        <f>COUNTIFS(Absensi!$D24:$ND24,Rekap!J$6,Absensi!$D$2:$ND$2,$M$2)</f>
        <v>0</v>
      </c>
      <c r="K26" s="1"/>
      <c r="L26" s="1"/>
      <c r="M26" s="47">
        <f>IF($M$2="01",SUMIF(Test!$D:$D,Rekap!D26,Test!$AC:$AC),IF($M$2="02",SUMIF(Test!$D:$D,Rekap!D26,Test!$AD:$AD),IF($M$2="03",SUMIF(Test!$D:$D,Rekap!D26,Test!$AE:$AE),IF($M$2="04",SUMIF(Test!$D:$D,Rekap!D26,Test!$AF:$AF),IF($M$2="05",SUMIF(Test!$D:$D,Rekap!D26,Test!$AG:$AG),IF($M$2="06",SUMIF(Test!$D:$D,Rekap!D26,Test!$AH:$AH),IF($M$2="07",SUMIF(Test!$D:$D,Rekap!D26,Test!$AI:$AI),IF($M$2="08",SUMIF(Test!$D:$D,Rekap!D26,Test!$AJ:$AJ),IF($M$2="09",SUMIF(Test!$D:$D,Rekap!D26,Test!$AK:$AK),IF($M$2="10",SUMIF(Test!$D:$D,Rekap!D26,Test!$AL:$AL),IF($M$2="11",SUMIF(Test!$D:$D,Rekap!D26,Test!$AM:$AM),IF($M$2="12",SUMIF(Test!$D:$D,Rekap!D26,Test!$AN:$AN),0))))))))))))</f>
        <v>2</v>
      </c>
    </row>
    <row r="27" spans="1:13" ht="15" customHeight="1" x14ac:dyDescent="0.25">
      <c r="A27" s="26">
        <v>21</v>
      </c>
      <c r="B27" s="27" t="str">
        <f>Absensi!B25</f>
        <v>Gudang A</v>
      </c>
      <c r="C27" s="27" t="str">
        <f>Absensi!C25</f>
        <v>Noval Azhar</v>
      </c>
      <c r="D27" s="27" t="str">
        <f t="shared" si="0"/>
        <v>Gudang ANoval Azhar</v>
      </c>
      <c r="E27" s="1">
        <f>COUNTIFS(Absensi!$D25:$ND25,Rekap!E$6,Absensi!$D$2:$ND$2,$M$2)</f>
        <v>0</v>
      </c>
      <c r="F27" s="1">
        <f>COUNTIFS(Absensi!$D25:$ND25,Rekap!F$6,Absensi!$D$2:$ND$2,$M$2)</f>
        <v>0</v>
      </c>
      <c r="G27" s="1">
        <f>COUNTIFS(Absensi!$D25:$ND25,Rekap!G$6,Absensi!$D$2:$ND$2,$M$2)</f>
        <v>0</v>
      </c>
      <c r="H27" s="1">
        <f>COUNTIFS(Absensi!$D25:$ND25,Rekap!H$6,Absensi!$D$2:$ND$2,$M$2)</f>
        <v>0</v>
      </c>
      <c r="I27" s="1">
        <f>COUNTIFS(Absensi!$D25:$ND25,Rekap!I$6,Absensi!$D$2:$ND$2,$M$2)</f>
        <v>0</v>
      </c>
      <c r="J27" s="1">
        <f>COUNTIFS(Absensi!$D25:$ND25,Rekap!J$6,Absensi!$D$2:$ND$2,$M$2)</f>
        <v>0</v>
      </c>
      <c r="K27" s="1"/>
      <c r="L27" s="1"/>
      <c r="M27" s="47">
        <f>IF($M$2="01",SUMIF(Test!$D:$D,Rekap!D27,Test!$AC:$AC),IF($M$2="02",SUMIF(Test!$D:$D,Rekap!D27,Test!$AD:$AD),IF($M$2="03",SUMIF(Test!$D:$D,Rekap!D27,Test!$AE:$AE),IF($M$2="04",SUMIF(Test!$D:$D,Rekap!D27,Test!$AF:$AF),IF($M$2="05",SUMIF(Test!$D:$D,Rekap!D27,Test!$AG:$AG),IF($M$2="06",SUMIF(Test!$D:$D,Rekap!D27,Test!$AH:$AH),IF($M$2="07",SUMIF(Test!$D:$D,Rekap!D27,Test!$AI:$AI),IF($M$2="08",SUMIF(Test!$D:$D,Rekap!D27,Test!$AJ:$AJ),IF($M$2="09",SUMIF(Test!$D:$D,Rekap!D27,Test!$AK:$AK),IF($M$2="10",SUMIF(Test!$D:$D,Rekap!D27,Test!$AL:$AL),IF($M$2="11",SUMIF(Test!$D:$D,Rekap!D27,Test!$AM:$AM),IF($M$2="12",SUMIF(Test!$D:$D,Rekap!D27,Test!$AN:$AN),0))))))))))))</f>
        <v>8</v>
      </c>
    </row>
    <row r="28" spans="1:13" ht="15" customHeight="1" x14ac:dyDescent="0.25">
      <c r="A28" s="26">
        <v>22</v>
      </c>
      <c r="B28" s="27" t="str">
        <f>Absensi!B26</f>
        <v>Gudang A</v>
      </c>
      <c r="C28" s="27" t="str">
        <f>Absensi!C26</f>
        <v>Putri Maulida</v>
      </c>
      <c r="D28" s="27" t="str">
        <f t="shared" si="0"/>
        <v>Gudang APutri Maulida</v>
      </c>
      <c r="E28" s="1">
        <f>COUNTIFS(Absensi!$D26:$ND26,Rekap!E$6,Absensi!$D$2:$ND$2,$M$2)</f>
        <v>0</v>
      </c>
      <c r="F28" s="1">
        <f>COUNTIFS(Absensi!$D26:$ND26,Rekap!F$6,Absensi!$D$2:$ND$2,$M$2)</f>
        <v>1</v>
      </c>
      <c r="G28" s="1">
        <f>COUNTIFS(Absensi!$D26:$ND26,Rekap!G$6,Absensi!$D$2:$ND$2,$M$2)</f>
        <v>1</v>
      </c>
      <c r="H28" s="1">
        <f>COUNTIFS(Absensi!$D26:$ND26,Rekap!H$6,Absensi!$D$2:$ND$2,$M$2)</f>
        <v>0</v>
      </c>
      <c r="I28" s="1">
        <f>COUNTIFS(Absensi!$D26:$ND26,Rekap!I$6,Absensi!$D$2:$ND$2,$M$2)</f>
        <v>0</v>
      </c>
      <c r="J28" s="1">
        <f>COUNTIFS(Absensi!$D26:$ND26,Rekap!J$6,Absensi!$D$2:$ND$2,$M$2)</f>
        <v>0</v>
      </c>
      <c r="K28" s="1"/>
      <c r="L28" s="1"/>
      <c r="M28" s="47">
        <f>IF($M$2="01",SUMIF(Test!$D:$D,Rekap!D28,Test!$AC:$AC),IF($M$2="02",SUMIF(Test!$D:$D,Rekap!D28,Test!$AD:$AD),IF($M$2="03",SUMIF(Test!$D:$D,Rekap!D28,Test!$AE:$AE),IF($M$2="04",SUMIF(Test!$D:$D,Rekap!D28,Test!$AF:$AF),IF($M$2="05",SUMIF(Test!$D:$D,Rekap!D28,Test!$AG:$AG),IF($M$2="06",SUMIF(Test!$D:$D,Rekap!D28,Test!$AH:$AH),IF($M$2="07",SUMIF(Test!$D:$D,Rekap!D28,Test!$AI:$AI),IF($M$2="08",SUMIF(Test!$D:$D,Rekap!D28,Test!$AJ:$AJ),IF($M$2="09",SUMIF(Test!$D:$D,Rekap!D28,Test!$AK:$AK),IF($M$2="10",SUMIF(Test!$D:$D,Rekap!D28,Test!$AL:$AL),IF($M$2="11",SUMIF(Test!$D:$D,Rekap!D28,Test!$AM:$AM),IF($M$2="12",SUMIF(Test!$D:$D,Rekap!D28,Test!$AN:$AN),0))))))))))))</f>
        <v>4</v>
      </c>
    </row>
    <row r="29" spans="1:13" ht="15" customHeight="1" x14ac:dyDescent="0.25">
      <c r="A29" s="26">
        <v>23</v>
      </c>
      <c r="B29" s="27" t="str">
        <f>Absensi!B27</f>
        <v>Gudang A</v>
      </c>
      <c r="C29" s="27" t="str">
        <f>Absensi!C27</f>
        <v>Ali Imron</v>
      </c>
      <c r="D29" s="27" t="str">
        <f t="shared" si="0"/>
        <v>Gudang AAli Imron</v>
      </c>
      <c r="E29" s="1">
        <f>COUNTIFS(Absensi!$D27:$ND27,Rekap!E$6,Absensi!$D$2:$ND$2,$M$2)</f>
        <v>0</v>
      </c>
      <c r="F29" s="1">
        <f>COUNTIFS(Absensi!$D27:$ND27,Rekap!F$6,Absensi!$D$2:$ND$2,$M$2)</f>
        <v>0</v>
      </c>
      <c r="G29" s="1">
        <f>COUNTIFS(Absensi!$D27:$ND27,Rekap!G$6,Absensi!$D$2:$ND$2,$M$2)</f>
        <v>0</v>
      </c>
      <c r="H29" s="1">
        <f>COUNTIFS(Absensi!$D27:$ND27,Rekap!H$6,Absensi!$D$2:$ND$2,$M$2)</f>
        <v>0</v>
      </c>
      <c r="I29" s="1">
        <f>COUNTIFS(Absensi!$D27:$ND27,Rekap!I$6,Absensi!$D$2:$ND$2,$M$2)</f>
        <v>0</v>
      </c>
      <c r="J29" s="1">
        <f>COUNTIFS(Absensi!$D27:$ND27,Rekap!J$6,Absensi!$D$2:$ND$2,$M$2)</f>
        <v>0</v>
      </c>
      <c r="K29" s="1"/>
      <c r="L29" s="1"/>
      <c r="M29" s="47">
        <f>IF($M$2="01",SUMIF(Test!$D:$D,Rekap!D29,Test!$AC:$AC),IF($M$2="02",SUMIF(Test!$D:$D,Rekap!D29,Test!$AD:$AD),IF($M$2="03",SUMIF(Test!$D:$D,Rekap!D29,Test!$AE:$AE),IF($M$2="04",SUMIF(Test!$D:$D,Rekap!D29,Test!$AF:$AF),IF($M$2="05",SUMIF(Test!$D:$D,Rekap!D29,Test!$AG:$AG),IF($M$2="06",SUMIF(Test!$D:$D,Rekap!D29,Test!$AH:$AH),IF($M$2="07",SUMIF(Test!$D:$D,Rekap!D29,Test!$AI:$AI),IF($M$2="08",SUMIF(Test!$D:$D,Rekap!D29,Test!$AJ:$AJ),IF($M$2="09",SUMIF(Test!$D:$D,Rekap!D29,Test!$AK:$AK),IF($M$2="10",SUMIF(Test!$D:$D,Rekap!D29,Test!$AL:$AL),IF($M$2="11",SUMIF(Test!$D:$D,Rekap!D29,Test!$AM:$AM),IF($M$2="12",SUMIF(Test!$D:$D,Rekap!D29,Test!$AN:$AN),0))))))))))))</f>
        <v>1</v>
      </c>
    </row>
    <row r="30" spans="1:13" ht="15" customHeight="1" x14ac:dyDescent="0.25">
      <c r="A30" s="26">
        <v>24</v>
      </c>
      <c r="B30" s="27" t="str">
        <f>Absensi!B28</f>
        <v>Gudang A</v>
      </c>
      <c r="C30" s="27" t="str">
        <f>Absensi!C28</f>
        <v>Riyan Setiawan</v>
      </c>
      <c r="D30" s="27" t="str">
        <f t="shared" si="0"/>
        <v>Gudang ARiyan Setiawan</v>
      </c>
      <c r="E30" s="1">
        <f>COUNTIFS(Absensi!$D28:$ND28,Rekap!E$6,Absensi!$D$2:$ND$2,$M$2)</f>
        <v>0</v>
      </c>
      <c r="F30" s="1">
        <f>COUNTIFS(Absensi!$D28:$ND28,Rekap!F$6,Absensi!$D$2:$ND$2,$M$2)</f>
        <v>0</v>
      </c>
      <c r="G30" s="1">
        <f>COUNTIFS(Absensi!$D28:$ND28,Rekap!G$6,Absensi!$D$2:$ND$2,$M$2)</f>
        <v>0</v>
      </c>
      <c r="H30" s="1">
        <f>COUNTIFS(Absensi!$D28:$ND28,Rekap!H$6,Absensi!$D$2:$ND$2,$M$2)</f>
        <v>0</v>
      </c>
      <c r="I30" s="1">
        <f>COUNTIFS(Absensi!$D28:$ND28,Rekap!I$6,Absensi!$D$2:$ND$2,$M$2)</f>
        <v>0</v>
      </c>
      <c r="J30" s="1">
        <f>COUNTIFS(Absensi!$D28:$ND28,Rekap!J$6,Absensi!$D$2:$ND$2,$M$2)</f>
        <v>0</v>
      </c>
      <c r="K30" s="1"/>
      <c r="L30" s="1"/>
      <c r="M30" s="47">
        <f>IF($M$2="01",SUMIF(Test!$D:$D,Rekap!D30,Test!$AC:$AC),IF($M$2="02",SUMIF(Test!$D:$D,Rekap!D30,Test!$AD:$AD),IF($M$2="03",SUMIF(Test!$D:$D,Rekap!D30,Test!$AE:$AE),IF($M$2="04",SUMIF(Test!$D:$D,Rekap!D30,Test!$AF:$AF),IF($M$2="05",SUMIF(Test!$D:$D,Rekap!D30,Test!$AG:$AG),IF($M$2="06",SUMIF(Test!$D:$D,Rekap!D30,Test!$AH:$AH),IF($M$2="07",SUMIF(Test!$D:$D,Rekap!D30,Test!$AI:$AI),IF($M$2="08",SUMIF(Test!$D:$D,Rekap!D30,Test!$AJ:$AJ),IF($M$2="09",SUMIF(Test!$D:$D,Rekap!D30,Test!$AK:$AK),IF($M$2="10",SUMIF(Test!$D:$D,Rekap!D30,Test!$AL:$AL),IF($M$2="11",SUMIF(Test!$D:$D,Rekap!D30,Test!$AM:$AM),IF($M$2="12",SUMIF(Test!$D:$D,Rekap!D30,Test!$AN:$AN),0))))))))))))</f>
        <v>1</v>
      </c>
    </row>
    <row r="31" spans="1:13" ht="15" customHeight="1" x14ac:dyDescent="0.25">
      <c r="A31" s="26">
        <v>25</v>
      </c>
      <c r="B31" s="27" t="str">
        <f>Absensi!B29</f>
        <v>Gudang A</v>
      </c>
      <c r="C31" s="27" t="str">
        <f>Absensi!C29</f>
        <v>Kusnadi</v>
      </c>
      <c r="D31" s="27" t="str">
        <f t="shared" si="0"/>
        <v>Gudang AKusnadi</v>
      </c>
      <c r="E31" s="1">
        <f>COUNTIFS(Absensi!$D29:$ND29,Rekap!E$6,Absensi!$D$2:$ND$2,$M$2)</f>
        <v>0</v>
      </c>
      <c r="F31" s="1">
        <f>COUNTIFS(Absensi!$D29:$ND29,Rekap!F$6,Absensi!$D$2:$ND$2,$M$2)</f>
        <v>0</v>
      </c>
      <c r="G31" s="1">
        <f>COUNTIFS(Absensi!$D29:$ND29,Rekap!G$6,Absensi!$D$2:$ND$2,$M$2)</f>
        <v>0</v>
      </c>
      <c r="H31" s="1">
        <f>COUNTIFS(Absensi!$D29:$ND29,Rekap!H$6,Absensi!$D$2:$ND$2,$M$2)</f>
        <v>0</v>
      </c>
      <c r="I31" s="1">
        <f>COUNTIFS(Absensi!$D29:$ND29,Rekap!I$6,Absensi!$D$2:$ND$2,$M$2)</f>
        <v>0</v>
      </c>
      <c r="J31" s="1">
        <f>COUNTIFS(Absensi!$D29:$ND29,Rekap!J$6,Absensi!$D$2:$ND$2,$M$2)</f>
        <v>0</v>
      </c>
      <c r="K31" s="1"/>
      <c r="L31" s="1"/>
      <c r="M31" s="47">
        <f>IF($M$2="01",SUMIF(Test!$D:$D,Rekap!D31,Test!$AC:$AC),IF($M$2="02",SUMIF(Test!$D:$D,Rekap!D31,Test!$AD:$AD),IF($M$2="03",SUMIF(Test!$D:$D,Rekap!D31,Test!$AE:$AE),IF($M$2="04",SUMIF(Test!$D:$D,Rekap!D31,Test!$AF:$AF),IF($M$2="05",SUMIF(Test!$D:$D,Rekap!D31,Test!$AG:$AG),IF($M$2="06",SUMIF(Test!$D:$D,Rekap!D31,Test!$AH:$AH),IF($M$2="07",SUMIF(Test!$D:$D,Rekap!D31,Test!$AI:$AI),IF($M$2="08",SUMIF(Test!$D:$D,Rekap!D31,Test!$AJ:$AJ),IF($M$2="09",SUMIF(Test!$D:$D,Rekap!D31,Test!$AK:$AK),IF($M$2="10",SUMIF(Test!$D:$D,Rekap!D31,Test!$AL:$AL),IF($M$2="11",SUMIF(Test!$D:$D,Rekap!D31,Test!$AM:$AM),IF($M$2="12",SUMIF(Test!$D:$D,Rekap!D31,Test!$AN:$AN),0))))))))))))</f>
        <v>8</v>
      </c>
    </row>
    <row r="32" spans="1:13" ht="15" customHeight="1" x14ac:dyDescent="0.25">
      <c r="A32" s="26">
        <v>26</v>
      </c>
      <c r="B32" s="27" t="str">
        <f>Absensi!B30</f>
        <v>Gudang A</v>
      </c>
      <c r="C32" s="27" t="str">
        <f>Absensi!C30</f>
        <v>Hamdani</v>
      </c>
      <c r="D32" s="27" t="str">
        <f t="shared" si="0"/>
        <v>Gudang AHamdani</v>
      </c>
      <c r="E32" s="1">
        <f>COUNTIFS(Absensi!$D30:$ND30,Rekap!E$6,Absensi!$D$2:$ND$2,$M$2)</f>
        <v>0</v>
      </c>
      <c r="F32" s="1">
        <f>COUNTIFS(Absensi!$D30:$ND30,Rekap!F$6,Absensi!$D$2:$ND$2,$M$2)</f>
        <v>0</v>
      </c>
      <c r="G32" s="1">
        <f>COUNTIFS(Absensi!$D30:$ND30,Rekap!G$6,Absensi!$D$2:$ND$2,$M$2)</f>
        <v>0</v>
      </c>
      <c r="H32" s="1">
        <f>COUNTIFS(Absensi!$D30:$ND30,Rekap!H$6,Absensi!$D$2:$ND$2,$M$2)</f>
        <v>0</v>
      </c>
      <c r="I32" s="1">
        <f>COUNTIFS(Absensi!$D30:$ND30,Rekap!I$6,Absensi!$D$2:$ND$2,$M$2)</f>
        <v>0</v>
      </c>
      <c r="J32" s="1">
        <f>COUNTIFS(Absensi!$D30:$ND30,Rekap!J$6,Absensi!$D$2:$ND$2,$M$2)</f>
        <v>0</v>
      </c>
      <c r="K32" s="1"/>
      <c r="L32" s="1"/>
      <c r="M32" s="47">
        <f>IF($M$2="01",SUMIF(Test!$D:$D,Rekap!D32,Test!$AC:$AC),IF($M$2="02",SUMIF(Test!$D:$D,Rekap!D32,Test!$AD:$AD),IF($M$2="03",SUMIF(Test!$D:$D,Rekap!D32,Test!$AE:$AE),IF($M$2="04",SUMIF(Test!$D:$D,Rekap!D32,Test!$AF:$AF),IF($M$2="05",SUMIF(Test!$D:$D,Rekap!D32,Test!$AG:$AG),IF($M$2="06",SUMIF(Test!$D:$D,Rekap!D32,Test!$AH:$AH),IF($M$2="07",SUMIF(Test!$D:$D,Rekap!D32,Test!$AI:$AI),IF($M$2="08",SUMIF(Test!$D:$D,Rekap!D32,Test!$AJ:$AJ),IF($M$2="09",SUMIF(Test!$D:$D,Rekap!D32,Test!$AK:$AK),IF($M$2="10",SUMIF(Test!$D:$D,Rekap!D32,Test!$AL:$AL),IF($M$2="11",SUMIF(Test!$D:$D,Rekap!D32,Test!$AM:$AM),IF($M$2="12",SUMIF(Test!$D:$D,Rekap!D32,Test!$AN:$AN),0))))))))))))</f>
        <v>9.5</v>
      </c>
    </row>
    <row r="33" spans="1:13" ht="15" customHeight="1" x14ac:dyDescent="0.25">
      <c r="A33" s="26">
        <v>27</v>
      </c>
      <c r="B33" s="27" t="str">
        <f>Absensi!B31</f>
        <v>Gudang A</v>
      </c>
      <c r="C33" s="27" t="str">
        <f>Absensi!C31</f>
        <v>Risa Srinita</v>
      </c>
      <c r="D33" s="27" t="str">
        <f t="shared" si="0"/>
        <v>Gudang ARisa Srinita</v>
      </c>
      <c r="E33" s="1">
        <f>COUNTIFS(Absensi!$D31:$ND31,Rekap!E$6,Absensi!$D$2:$ND$2,$M$2)</f>
        <v>0</v>
      </c>
      <c r="F33" s="1">
        <f>COUNTIFS(Absensi!$D31:$ND31,Rekap!F$6,Absensi!$D$2:$ND$2,$M$2)</f>
        <v>1</v>
      </c>
      <c r="G33" s="1">
        <f>COUNTIFS(Absensi!$D31:$ND31,Rekap!G$6,Absensi!$D$2:$ND$2,$M$2)</f>
        <v>0</v>
      </c>
      <c r="H33" s="1">
        <f>COUNTIFS(Absensi!$D31:$ND31,Rekap!H$6,Absensi!$D$2:$ND$2,$M$2)</f>
        <v>0</v>
      </c>
      <c r="I33" s="1">
        <f>COUNTIFS(Absensi!$D31:$ND31,Rekap!I$6,Absensi!$D$2:$ND$2,$M$2)</f>
        <v>0</v>
      </c>
      <c r="J33" s="1">
        <f>COUNTIFS(Absensi!$D31:$ND31,Rekap!J$6,Absensi!$D$2:$ND$2,$M$2)</f>
        <v>0</v>
      </c>
      <c r="K33" s="1"/>
      <c r="L33" s="1"/>
      <c r="M33" s="47">
        <f>IF($M$2="01",SUMIF(Test!$D:$D,Rekap!D33,Test!$AC:$AC),IF($M$2="02",SUMIF(Test!$D:$D,Rekap!D33,Test!$AD:$AD),IF($M$2="03",SUMIF(Test!$D:$D,Rekap!D33,Test!$AE:$AE),IF($M$2="04",SUMIF(Test!$D:$D,Rekap!D33,Test!$AF:$AF),IF($M$2="05",SUMIF(Test!$D:$D,Rekap!D33,Test!$AG:$AG),IF($M$2="06",SUMIF(Test!$D:$D,Rekap!D33,Test!$AH:$AH),IF($M$2="07",SUMIF(Test!$D:$D,Rekap!D33,Test!$AI:$AI),IF($M$2="08",SUMIF(Test!$D:$D,Rekap!D33,Test!$AJ:$AJ),IF($M$2="09",SUMIF(Test!$D:$D,Rekap!D33,Test!$AK:$AK),IF($M$2="10",SUMIF(Test!$D:$D,Rekap!D33,Test!$AL:$AL),IF($M$2="11",SUMIF(Test!$D:$D,Rekap!D33,Test!$AM:$AM),IF($M$2="12",SUMIF(Test!$D:$D,Rekap!D33,Test!$AN:$AN),0))))))))))))</f>
        <v>6.5</v>
      </c>
    </row>
    <row r="34" spans="1:13" ht="15" customHeight="1" x14ac:dyDescent="0.25">
      <c r="A34" s="26">
        <v>28</v>
      </c>
      <c r="B34" s="27" t="str">
        <f>Absensi!B32</f>
        <v>Gudang A</v>
      </c>
      <c r="C34" s="27" t="str">
        <f>Absensi!C32</f>
        <v>Muhamad Imron Sopary</v>
      </c>
      <c r="D34" s="27" t="str">
        <f t="shared" si="0"/>
        <v>Gudang AMuhamad Imron Sopary</v>
      </c>
      <c r="E34" s="1">
        <f>COUNTIFS(Absensi!$D32:$ND32,Rekap!E$6,Absensi!$D$2:$ND$2,$M$2)</f>
        <v>0</v>
      </c>
      <c r="F34" s="1">
        <f>COUNTIFS(Absensi!$D32:$ND32,Rekap!F$6,Absensi!$D$2:$ND$2,$M$2)</f>
        <v>0</v>
      </c>
      <c r="G34" s="1">
        <f>COUNTIFS(Absensi!$D32:$ND32,Rekap!G$6,Absensi!$D$2:$ND$2,$M$2)</f>
        <v>0</v>
      </c>
      <c r="H34" s="1">
        <f>COUNTIFS(Absensi!$D32:$ND32,Rekap!H$6,Absensi!$D$2:$ND$2,$M$2)</f>
        <v>0</v>
      </c>
      <c r="I34" s="1">
        <f>COUNTIFS(Absensi!$D32:$ND32,Rekap!I$6,Absensi!$D$2:$ND$2,$M$2)</f>
        <v>0</v>
      </c>
      <c r="J34" s="1">
        <f>COUNTIFS(Absensi!$D32:$ND32,Rekap!J$6,Absensi!$D$2:$ND$2,$M$2)</f>
        <v>0</v>
      </c>
      <c r="K34" s="1"/>
      <c r="L34" s="1"/>
      <c r="M34" s="47">
        <f>IF($M$2="01",SUMIF(Test!$D:$D,Rekap!D34,Test!$AC:$AC),IF($M$2="02",SUMIF(Test!$D:$D,Rekap!D34,Test!$AD:$AD),IF($M$2="03",SUMIF(Test!$D:$D,Rekap!D34,Test!$AE:$AE),IF($M$2="04",SUMIF(Test!$D:$D,Rekap!D34,Test!$AF:$AF),IF($M$2="05",SUMIF(Test!$D:$D,Rekap!D34,Test!$AG:$AG),IF($M$2="06",SUMIF(Test!$D:$D,Rekap!D34,Test!$AH:$AH),IF($M$2="07",SUMIF(Test!$D:$D,Rekap!D34,Test!$AI:$AI),IF($M$2="08",SUMIF(Test!$D:$D,Rekap!D34,Test!$AJ:$AJ),IF($M$2="09",SUMIF(Test!$D:$D,Rekap!D34,Test!$AK:$AK),IF($M$2="10",SUMIF(Test!$D:$D,Rekap!D34,Test!$AL:$AL),IF($M$2="11",SUMIF(Test!$D:$D,Rekap!D34,Test!$AM:$AM),IF($M$2="12",SUMIF(Test!$D:$D,Rekap!D34,Test!$AN:$AN),0))))))))))))</f>
        <v>4.5</v>
      </c>
    </row>
    <row r="35" spans="1:13" ht="15" customHeight="1" x14ac:dyDescent="0.25">
      <c r="A35" s="26">
        <v>29</v>
      </c>
      <c r="B35" s="27" t="str">
        <f>Absensi!B33</f>
        <v>Gudang A</v>
      </c>
      <c r="C35" s="27" t="str">
        <f>Absensi!C33</f>
        <v>Muhammad Fathir Alfarizi</v>
      </c>
      <c r="D35" s="27" t="str">
        <f t="shared" si="0"/>
        <v>Gudang AMuhammad Fathir Alfarizi</v>
      </c>
      <c r="E35" s="1">
        <f>COUNTIFS(Absensi!$D33:$ND33,Rekap!E$6,Absensi!$D$2:$ND$2,$M$2)</f>
        <v>0</v>
      </c>
      <c r="F35" s="1">
        <f>COUNTIFS(Absensi!$D33:$ND33,Rekap!F$6,Absensi!$D$2:$ND$2,$M$2)</f>
        <v>1</v>
      </c>
      <c r="G35" s="1">
        <f>COUNTIFS(Absensi!$D33:$ND33,Rekap!G$6,Absensi!$D$2:$ND$2,$M$2)</f>
        <v>0</v>
      </c>
      <c r="H35" s="1">
        <f>COUNTIFS(Absensi!$D33:$ND33,Rekap!H$6,Absensi!$D$2:$ND$2,$M$2)</f>
        <v>0</v>
      </c>
      <c r="I35" s="1">
        <f>COUNTIFS(Absensi!$D33:$ND33,Rekap!I$6,Absensi!$D$2:$ND$2,$M$2)</f>
        <v>0</v>
      </c>
      <c r="J35" s="1">
        <f>COUNTIFS(Absensi!$D33:$ND33,Rekap!J$6,Absensi!$D$2:$ND$2,$M$2)</f>
        <v>0</v>
      </c>
      <c r="K35" s="1"/>
      <c r="L35" s="1"/>
      <c r="M35" s="47">
        <f>IF($M$2="01",SUMIF(Test!$D:$D,Rekap!D35,Test!$AC:$AC),IF($M$2="02",SUMIF(Test!$D:$D,Rekap!D35,Test!$AD:$AD),IF($M$2="03",SUMIF(Test!$D:$D,Rekap!D35,Test!$AE:$AE),IF($M$2="04",SUMIF(Test!$D:$D,Rekap!D35,Test!$AF:$AF),IF($M$2="05",SUMIF(Test!$D:$D,Rekap!D35,Test!$AG:$AG),IF($M$2="06",SUMIF(Test!$D:$D,Rekap!D35,Test!$AH:$AH),IF($M$2="07",SUMIF(Test!$D:$D,Rekap!D35,Test!$AI:$AI),IF($M$2="08",SUMIF(Test!$D:$D,Rekap!D35,Test!$AJ:$AJ),IF($M$2="09",SUMIF(Test!$D:$D,Rekap!D35,Test!$AK:$AK),IF($M$2="10",SUMIF(Test!$D:$D,Rekap!D35,Test!$AL:$AL),IF($M$2="11",SUMIF(Test!$D:$D,Rekap!D35,Test!$AM:$AM),IF($M$2="12",SUMIF(Test!$D:$D,Rekap!D35,Test!$AN:$AN),0))))))))))))</f>
        <v>1</v>
      </c>
    </row>
    <row r="36" spans="1:13" ht="15" customHeight="1" x14ac:dyDescent="0.25">
      <c r="A36" s="26">
        <v>30</v>
      </c>
      <c r="B36" s="27" t="str">
        <f>Absensi!B34</f>
        <v>Gudang A</v>
      </c>
      <c r="C36" s="27" t="str">
        <f>Absensi!C34</f>
        <v>Fikri Paturohman</v>
      </c>
      <c r="D36" s="27" t="str">
        <f t="shared" si="0"/>
        <v>Gudang AFikri Paturohman</v>
      </c>
      <c r="E36" s="1">
        <f>COUNTIFS(Absensi!$D34:$ND34,Rekap!E$6,Absensi!$D$2:$ND$2,$M$2)</f>
        <v>0</v>
      </c>
      <c r="F36" s="1">
        <f>COUNTIFS(Absensi!$D34:$ND34,Rekap!F$6,Absensi!$D$2:$ND$2,$M$2)</f>
        <v>2</v>
      </c>
      <c r="G36" s="1">
        <f>COUNTIFS(Absensi!$D34:$ND34,Rekap!G$6,Absensi!$D$2:$ND$2,$M$2)</f>
        <v>0</v>
      </c>
      <c r="H36" s="1">
        <f>COUNTIFS(Absensi!$D34:$ND34,Rekap!H$6,Absensi!$D$2:$ND$2,$M$2)</f>
        <v>0</v>
      </c>
      <c r="I36" s="1">
        <f>COUNTIFS(Absensi!$D34:$ND34,Rekap!I$6,Absensi!$D$2:$ND$2,$M$2)</f>
        <v>0</v>
      </c>
      <c r="J36" s="1">
        <f>COUNTIFS(Absensi!$D34:$ND34,Rekap!J$6,Absensi!$D$2:$ND$2,$M$2)</f>
        <v>0</v>
      </c>
      <c r="K36" s="1"/>
      <c r="L36" s="1"/>
      <c r="M36" s="47">
        <f>IF($M$2="01",SUMIF(Test!$D:$D,Rekap!D36,Test!$AC:$AC),IF($M$2="02",SUMIF(Test!$D:$D,Rekap!D36,Test!$AD:$AD),IF($M$2="03",SUMIF(Test!$D:$D,Rekap!D36,Test!$AE:$AE),IF($M$2="04",SUMIF(Test!$D:$D,Rekap!D36,Test!$AF:$AF),IF($M$2="05",SUMIF(Test!$D:$D,Rekap!D36,Test!$AG:$AG),IF($M$2="06",SUMIF(Test!$D:$D,Rekap!D36,Test!$AH:$AH),IF($M$2="07",SUMIF(Test!$D:$D,Rekap!D36,Test!$AI:$AI),IF($M$2="08",SUMIF(Test!$D:$D,Rekap!D36,Test!$AJ:$AJ),IF($M$2="09",SUMIF(Test!$D:$D,Rekap!D36,Test!$AK:$AK),IF($M$2="10",SUMIF(Test!$D:$D,Rekap!D36,Test!$AL:$AL),IF($M$2="11",SUMIF(Test!$D:$D,Rekap!D36,Test!$AM:$AM),IF($M$2="12",SUMIF(Test!$D:$D,Rekap!D36,Test!$AN:$AN),0))))))))))))</f>
        <v>-3</v>
      </c>
    </row>
    <row r="37" spans="1:13" ht="15" customHeight="1" x14ac:dyDescent="0.25">
      <c r="A37" s="26">
        <v>31</v>
      </c>
      <c r="B37" s="27" t="str">
        <f>Absensi!B35</f>
        <v>Gudang A</v>
      </c>
      <c r="C37" s="27" t="str">
        <f>Absensi!C35</f>
        <v>Saiful Fisri</v>
      </c>
      <c r="D37" s="27" t="str">
        <f t="shared" si="0"/>
        <v>Gudang ASaiful Fisri</v>
      </c>
      <c r="E37" s="1">
        <f>COUNTIFS(Absensi!$D35:$ND35,Rekap!E$6,Absensi!$D$2:$ND$2,$M$2)</f>
        <v>0</v>
      </c>
      <c r="F37" s="1">
        <f>COUNTIFS(Absensi!$D35:$ND35,Rekap!F$6,Absensi!$D$2:$ND$2,$M$2)</f>
        <v>1</v>
      </c>
      <c r="G37" s="1">
        <f>COUNTIFS(Absensi!$D35:$ND35,Rekap!G$6,Absensi!$D$2:$ND$2,$M$2)</f>
        <v>0</v>
      </c>
      <c r="H37" s="1">
        <f>COUNTIFS(Absensi!$D35:$ND35,Rekap!H$6,Absensi!$D$2:$ND$2,$M$2)</f>
        <v>0</v>
      </c>
      <c r="I37" s="1">
        <f>COUNTIFS(Absensi!$D35:$ND35,Rekap!I$6,Absensi!$D$2:$ND$2,$M$2)</f>
        <v>0</v>
      </c>
      <c r="J37" s="1">
        <f>COUNTIFS(Absensi!$D35:$ND35,Rekap!J$6,Absensi!$D$2:$ND$2,$M$2)</f>
        <v>0</v>
      </c>
      <c r="K37" s="1"/>
      <c r="L37" s="1"/>
      <c r="M37" s="47">
        <f>IF($M$2="01",SUMIF(Test!$D:$D,Rekap!D37,Test!$AC:$AC),IF($M$2="02",SUMIF(Test!$D:$D,Rekap!D37,Test!$AD:$AD),IF($M$2="03",SUMIF(Test!$D:$D,Rekap!D37,Test!$AE:$AE),IF($M$2="04",SUMIF(Test!$D:$D,Rekap!D37,Test!$AF:$AF),IF($M$2="05",SUMIF(Test!$D:$D,Rekap!D37,Test!$AG:$AG),IF($M$2="06",SUMIF(Test!$D:$D,Rekap!D37,Test!$AH:$AH),IF($M$2="07",SUMIF(Test!$D:$D,Rekap!D37,Test!$AI:$AI),IF($M$2="08",SUMIF(Test!$D:$D,Rekap!D37,Test!$AJ:$AJ),IF($M$2="09",SUMIF(Test!$D:$D,Rekap!D37,Test!$AK:$AK),IF($M$2="10",SUMIF(Test!$D:$D,Rekap!D37,Test!$AL:$AL),IF($M$2="11",SUMIF(Test!$D:$D,Rekap!D37,Test!$AM:$AM),IF($M$2="12",SUMIF(Test!$D:$D,Rekap!D37,Test!$AN:$AN),0))))))))))))</f>
        <v>-3</v>
      </c>
    </row>
    <row r="38" spans="1:13" ht="15" customHeight="1" x14ac:dyDescent="0.25">
      <c r="A38" s="26">
        <v>32</v>
      </c>
      <c r="B38" s="27" t="str">
        <f>Absensi!B36</f>
        <v>Gudang A</v>
      </c>
      <c r="C38" s="27" t="str">
        <f>Absensi!C36</f>
        <v>M. Fariz Maulana</v>
      </c>
      <c r="D38" s="27" t="str">
        <f t="shared" si="0"/>
        <v>Gudang AM. Fariz Maulana</v>
      </c>
      <c r="E38" s="1">
        <f>COUNTIFS(Absensi!$D36:$ND36,Rekap!E$6,Absensi!$D$2:$ND$2,$M$2)</f>
        <v>0</v>
      </c>
      <c r="F38" s="1">
        <f>COUNTIFS(Absensi!$D36:$ND36,Rekap!F$6,Absensi!$D$2:$ND$2,$M$2)</f>
        <v>0</v>
      </c>
      <c r="G38" s="1">
        <f>COUNTIFS(Absensi!$D36:$ND36,Rekap!G$6,Absensi!$D$2:$ND$2,$M$2)</f>
        <v>0</v>
      </c>
      <c r="H38" s="1">
        <f>COUNTIFS(Absensi!$D36:$ND36,Rekap!H$6,Absensi!$D$2:$ND$2,$M$2)</f>
        <v>0</v>
      </c>
      <c r="I38" s="1">
        <f>COUNTIFS(Absensi!$D36:$ND36,Rekap!I$6,Absensi!$D$2:$ND$2,$M$2)</f>
        <v>0</v>
      </c>
      <c r="J38" s="1">
        <f>COUNTIFS(Absensi!$D36:$ND36,Rekap!J$6,Absensi!$D$2:$ND$2,$M$2)</f>
        <v>0</v>
      </c>
      <c r="K38" s="1"/>
      <c r="L38" s="1"/>
      <c r="M38" s="47">
        <f>IF($M$2="01",SUMIF(Test!$D:$D,Rekap!D38,Test!$AC:$AC),IF($M$2="02",SUMIF(Test!$D:$D,Rekap!D38,Test!$AD:$AD),IF($M$2="03",SUMIF(Test!$D:$D,Rekap!D38,Test!$AE:$AE),IF($M$2="04",SUMIF(Test!$D:$D,Rekap!D38,Test!$AF:$AF),IF($M$2="05",SUMIF(Test!$D:$D,Rekap!D38,Test!$AG:$AG),IF($M$2="06",SUMIF(Test!$D:$D,Rekap!D38,Test!$AH:$AH),IF($M$2="07",SUMIF(Test!$D:$D,Rekap!D38,Test!$AI:$AI),IF($M$2="08",SUMIF(Test!$D:$D,Rekap!D38,Test!$AJ:$AJ),IF($M$2="09",SUMIF(Test!$D:$D,Rekap!D38,Test!$AK:$AK),IF($M$2="10",SUMIF(Test!$D:$D,Rekap!D38,Test!$AL:$AL),IF($M$2="11",SUMIF(Test!$D:$D,Rekap!D38,Test!$AM:$AM),IF($M$2="12",SUMIF(Test!$D:$D,Rekap!D38,Test!$AN:$AN),0))))))))))))</f>
        <v>9</v>
      </c>
    </row>
    <row r="39" spans="1:13" ht="15" customHeight="1" x14ac:dyDescent="0.25">
      <c r="A39" s="26">
        <v>33</v>
      </c>
      <c r="B39" s="27" t="str">
        <f>Absensi!B37</f>
        <v>Gudang A</v>
      </c>
      <c r="C39" s="27" t="str">
        <f>Absensi!C37</f>
        <v>Malik Irsad Abdullah</v>
      </c>
      <c r="D39" s="27" t="str">
        <f t="shared" si="0"/>
        <v>Gudang AMalik Irsad Abdullah</v>
      </c>
      <c r="E39" s="1">
        <f>COUNTIFS(Absensi!$D37:$ND37,Rekap!E$6,Absensi!$D$2:$ND$2,$M$2)</f>
        <v>0</v>
      </c>
      <c r="F39" s="1">
        <f>COUNTIFS(Absensi!$D37:$ND37,Rekap!F$6,Absensi!$D$2:$ND$2,$M$2)</f>
        <v>1</v>
      </c>
      <c r="G39" s="1">
        <f>COUNTIFS(Absensi!$D37:$ND37,Rekap!G$6,Absensi!$D$2:$ND$2,$M$2)</f>
        <v>0</v>
      </c>
      <c r="H39" s="1">
        <f>COUNTIFS(Absensi!$D37:$ND37,Rekap!H$6,Absensi!$D$2:$ND$2,$M$2)</f>
        <v>0</v>
      </c>
      <c r="I39" s="1">
        <f>COUNTIFS(Absensi!$D37:$ND37,Rekap!I$6,Absensi!$D$2:$ND$2,$M$2)</f>
        <v>0</v>
      </c>
      <c r="J39" s="1">
        <f>COUNTIFS(Absensi!$D37:$ND37,Rekap!J$6,Absensi!$D$2:$ND$2,$M$2)</f>
        <v>0</v>
      </c>
      <c r="K39" s="1"/>
      <c r="L39" s="1"/>
      <c r="M39" s="47">
        <f>IF($M$2="01",SUMIF(Test!$D:$D,Rekap!D39,Test!$AC:$AC),IF($M$2="02",SUMIF(Test!$D:$D,Rekap!D39,Test!$AD:$AD),IF($M$2="03",SUMIF(Test!$D:$D,Rekap!D39,Test!$AE:$AE),IF($M$2="04",SUMIF(Test!$D:$D,Rekap!D39,Test!$AF:$AF),IF($M$2="05",SUMIF(Test!$D:$D,Rekap!D39,Test!$AG:$AG),IF($M$2="06",SUMIF(Test!$D:$D,Rekap!D39,Test!$AH:$AH),IF($M$2="07",SUMIF(Test!$D:$D,Rekap!D39,Test!$AI:$AI),IF($M$2="08",SUMIF(Test!$D:$D,Rekap!D39,Test!$AJ:$AJ),IF($M$2="09",SUMIF(Test!$D:$D,Rekap!D39,Test!$AK:$AK),IF($M$2="10",SUMIF(Test!$D:$D,Rekap!D39,Test!$AL:$AL),IF($M$2="11",SUMIF(Test!$D:$D,Rekap!D39,Test!$AM:$AM),IF($M$2="12",SUMIF(Test!$D:$D,Rekap!D39,Test!$AN:$AN),0))))))))))))</f>
        <v>1</v>
      </c>
    </row>
    <row r="40" spans="1:13" ht="15" customHeight="1" x14ac:dyDescent="0.25">
      <c r="A40" s="26">
        <v>34</v>
      </c>
      <c r="B40" s="27" t="str">
        <f>Absensi!B38</f>
        <v>Gudang A</v>
      </c>
      <c r="C40" s="27" t="str">
        <f>Absensi!C38</f>
        <v>Fatul Muhni Khozali</v>
      </c>
      <c r="D40" s="27" t="str">
        <f t="shared" si="0"/>
        <v>Gudang AFatul Muhni Khozali</v>
      </c>
      <c r="E40" s="1">
        <f>COUNTIFS(Absensi!$D38:$ND38,Rekap!E$6,Absensi!$D$2:$ND$2,$M$2)</f>
        <v>0</v>
      </c>
      <c r="F40" s="1">
        <f>COUNTIFS(Absensi!$D38:$ND38,Rekap!F$6,Absensi!$D$2:$ND$2,$M$2)</f>
        <v>1</v>
      </c>
      <c r="G40" s="1">
        <f>COUNTIFS(Absensi!$D38:$ND38,Rekap!G$6,Absensi!$D$2:$ND$2,$M$2)</f>
        <v>0</v>
      </c>
      <c r="H40" s="1">
        <f>COUNTIFS(Absensi!$D38:$ND38,Rekap!H$6,Absensi!$D$2:$ND$2,$M$2)</f>
        <v>0</v>
      </c>
      <c r="I40" s="1">
        <f>COUNTIFS(Absensi!$D38:$ND38,Rekap!I$6,Absensi!$D$2:$ND$2,$M$2)</f>
        <v>0</v>
      </c>
      <c r="J40" s="1">
        <f>COUNTIFS(Absensi!$D38:$ND38,Rekap!J$6,Absensi!$D$2:$ND$2,$M$2)</f>
        <v>0</v>
      </c>
      <c r="K40" s="1"/>
      <c r="L40" s="1"/>
      <c r="M40" s="47">
        <f>IF($M$2="01",SUMIF(Test!$D:$D,Rekap!D40,Test!$AC:$AC),IF($M$2="02",SUMIF(Test!$D:$D,Rekap!D40,Test!$AD:$AD),IF($M$2="03",SUMIF(Test!$D:$D,Rekap!D40,Test!$AE:$AE),IF($M$2="04",SUMIF(Test!$D:$D,Rekap!D40,Test!$AF:$AF),IF($M$2="05",SUMIF(Test!$D:$D,Rekap!D40,Test!$AG:$AG),IF($M$2="06",SUMIF(Test!$D:$D,Rekap!D40,Test!$AH:$AH),IF($M$2="07",SUMIF(Test!$D:$D,Rekap!D40,Test!$AI:$AI),IF($M$2="08",SUMIF(Test!$D:$D,Rekap!D40,Test!$AJ:$AJ),IF($M$2="09",SUMIF(Test!$D:$D,Rekap!D40,Test!$AK:$AK),IF($M$2="10",SUMIF(Test!$D:$D,Rekap!D40,Test!$AL:$AL),IF($M$2="11",SUMIF(Test!$D:$D,Rekap!D40,Test!$AM:$AM),IF($M$2="12",SUMIF(Test!$D:$D,Rekap!D40,Test!$AN:$AN),0))))))))))))</f>
        <v>2</v>
      </c>
    </row>
    <row r="41" spans="1:13" ht="15" customHeight="1" x14ac:dyDescent="0.25">
      <c r="A41" s="26">
        <v>35</v>
      </c>
      <c r="B41" s="27" t="str">
        <f>Absensi!B39</f>
        <v>Gudang A</v>
      </c>
      <c r="C41" s="27" t="str">
        <f>Absensi!C39</f>
        <v>Putrinesia Ramadhani H</v>
      </c>
      <c r="D41" s="27" t="str">
        <f t="shared" si="0"/>
        <v>Gudang APutrinesia Ramadhani H</v>
      </c>
      <c r="E41" s="1">
        <f>COUNTIFS(Absensi!$D39:$ND39,Rekap!E$6,Absensi!$D$2:$ND$2,$M$2)</f>
        <v>0</v>
      </c>
      <c r="F41" s="1">
        <f>COUNTIFS(Absensi!$D39:$ND39,Rekap!F$6,Absensi!$D$2:$ND$2,$M$2)</f>
        <v>0</v>
      </c>
      <c r="G41" s="1">
        <f>COUNTIFS(Absensi!$D39:$ND39,Rekap!G$6,Absensi!$D$2:$ND$2,$M$2)</f>
        <v>0</v>
      </c>
      <c r="H41" s="1">
        <f>COUNTIFS(Absensi!$D39:$ND39,Rekap!H$6,Absensi!$D$2:$ND$2,$M$2)</f>
        <v>0</v>
      </c>
      <c r="I41" s="1">
        <f>COUNTIFS(Absensi!$D39:$ND39,Rekap!I$6,Absensi!$D$2:$ND$2,$M$2)</f>
        <v>0</v>
      </c>
      <c r="J41" s="1">
        <f>COUNTIFS(Absensi!$D39:$ND39,Rekap!J$6,Absensi!$D$2:$ND$2,$M$2)</f>
        <v>0</v>
      </c>
      <c r="K41" s="1"/>
      <c r="L41" s="1"/>
      <c r="M41" s="47">
        <f>IF($M$2="01",SUMIF(Test!$D:$D,Rekap!D41,Test!$AC:$AC),IF($M$2="02",SUMIF(Test!$D:$D,Rekap!D41,Test!$AD:$AD),IF($M$2="03",SUMIF(Test!$D:$D,Rekap!D41,Test!$AE:$AE),IF($M$2="04",SUMIF(Test!$D:$D,Rekap!D41,Test!$AF:$AF),IF($M$2="05",SUMIF(Test!$D:$D,Rekap!D41,Test!$AG:$AG),IF($M$2="06",SUMIF(Test!$D:$D,Rekap!D41,Test!$AH:$AH),IF($M$2="07",SUMIF(Test!$D:$D,Rekap!D41,Test!$AI:$AI),IF($M$2="08",SUMIF(Test!$D:$D,Rekap!D41,Test!$AJ:$AJ),IF($M$2="09",SUMIF(Test!$D:$D,Rekap!D41,Test!$AK:$AK),IF($M$2="10",SUMIF(Test!$D:$D,Rekap!D41,Test!$AL:$AL),IF($M$2="11",SUMIF(Test!$D:$D,Rekap!D41,Test!$AM:$AM),IF($M$2="12",SUMIF(Test!$D:$D,Rekap!D41,Test!$AN:$AN),0))))))))))))</f>
        <v>9</v>
      </c>
    </row>
    <row r="42" spans="1:13" ht="15" customHeight="1" x14ac:dyDescent="0.25">
      <c r="A42" s="26">
        <v>36</v>
      </c>
      <c r="B42" s="27" t="str">
        <f>Absensi!B40</f>
        <v>Gudang A</v>
      </c>
      <c r="C42" s="27" t="str">
        <f>Absensi!C40</f>
        <v>Intan Melani</v>
      </c>
      <c r="D42" s="27" t="str">
        <f t="shared" si="0"/>
        <v>Gudang AIntan Melani</v>
      </c>
      <c r="E42" s="1">
        <f>COUNTIFS(Absensi!$D40:$ND40,Rekap!E$6,Absensi!$D$2:$ND$2,$M$2)</f>
        <v>0</v>
      </c>
      <c r="F42" s="1">
        <f>COUNTIFS(Absensi!$D40:$ND40,Rekap!F$6,Absensi!$D$2:$ND$2,$M$2)</f>
        <v>0</v>
      </c>
      <c r="G42" s="1">
        <f>COUNTIFS(Absensi!$D40:$ND40,Rekap!G$6,Absensi!$D$2:$ND$2,$M$2)</f>
        <v>0</v>
      </c>
      <c r="H42" s="1">
        <f>COUNTIFS(Absensi!$D40:$ND40,Rekap!H$6,Absensi!$D$2:$ND$2,$M$2)</f>
        <v>0</v>
      </c>
      <c r="I42" s="1">
        <f>COUNTIFS(Absensi!$D40:$ND40,Rekap!I$6,Absensi!$D$2:$ND$2,$M$2)</f>
        <v>0</v>
      </c>
      <c r="J42" s="1">
        <f>COUNTIFS(Absensi!$D40:$ND40,Rekap!J$6,Absensi!$D$2:$ND$2,$M$2)</f>
        <v>0</v>
      </c>
      <c r="K42" s="1"/>
      <c r="L42" s="1"/>
      <c r="M42" s="47">
        <f>IF($M$2="01",SUMIF(Test!$D:$D,Rekap!D42,Test!$AC:$AC),IF($M$2="02",SUMIF(Test!$D:$D,Rekap!D42,Test!$AD:$AD),IF($M$2="03",SUMIF(Test!$D:$D,Rekap!D42,Test!$AE:$AE),IF($M$2="04",SUMIF(Test!$D:$D,Rekap!D42,Test!$AF:$AF),IF($M$2="05",SUMIF(Test!$D:$D,Rekap!D42,Test!$AG:$AG),IF($M$2="06",SUMIF(Test!$D:$D,Rekap!D42,Test!$AH:$AH),IF($M$2="07",SUMIF(Test!$D:$D,Rekap!D42,Test!$AI:$AI),IF($M$2="08",SUMIF(Test!$D:$D,Rekap!D42,Test!$AJ:$AJ),IF($M$2="09",SUMIF(Test!$D:$D,Rekap!D42,Test!$AK:$AK),IF($M$2="10",SUMIF(Test!$D:$D,Rekap!D42,Test!$AL:$AL),IF($M$2="11",SUMIF(Test!$D:$D,Rekap!D42,Test!$AM:$AM),IF($M$2="12",SUMIF(Test!$D:$D,Rekap!D42,Test!$AN:$AN),0))))))))))))</f>
        <v>8</v>
      </c>
    </row>
    <row r="43" spans="1:13" ht="15" customHeight="1" x14ac:dyDescent="0.25">
      <c r="A43" s="26">
        <v>37</v>
      </c>
      <c r="B43" s="27" t="str">
        <f>Absensi!B41</f>
        <v>Gudang A</v>
      </c>
      <c r="C43" s="27" t="str">
        <f>Absensi!C41</f>
        <v>Fahrul Azi</v>
      </c>
      <c r="D43" s="27" t="str">
        <f t="shared" si="0"/>
        <v>Gudang AFahrul Azi</v>
      </c>
      <c r="E43" s="1">
        <f>COUNTIFS(Absensi!$D41:$ND41,Rekap!E$6,Absensi!$D$2:$ND$2,$M$2)</f>
        <v>0</v>
      </c>
      <c r="F43" s="1">
        <f>COUNTIFS(Absensi!$D41:$ND41,Rekap!F$6,Absensi!$D$2:$ND$2,$M$2)</f>
        <v>1</v>
      </c>
      <c r="G43" s="1">
        <f>COUNTIFS(Absensi!$D41:$ND41,Rekap!G$6,Absensi!$D$2:$ND$2,$M$2)</f>
        <v>1</v>
      </c>
      <c r="H43" s="1">
        <f>COUNTIFS(Absensi!$D41:$ND41,Rekap!H$6,Absensi!$D$2:$ND$2,$M$2)</f>
        <v>0</v>
      </c>
      <c r="I43" s="1">
        <f>COUNTIFS(Absensi!$D41:$ND41,Rekap!I$6,Absensi!$D$2:$ND$2,$M$2)</f>
        <v>0</v>
      </c>
      <c r="J43" s="1">
        <f>COUNTIFS(Absensi!$D41:$ND41,Rekap!J$6,Absensi!$D$2:$ND$2,$M$2)</f>
        <v>0</v>
      </c>
      <c r="K43" s="1"/>
      <c r="L43" s="1"/>
      <c r="M43" s="47">
        <f>IF($M$2="01",SUMIF(Test!$D:$D,Rekap!D43,Test!$AC:$AC),IF($M$2="02",SUMIF(Test!$D:$D,Rekap!D43,Test!$AD:$AD),IF($M$2="03",SUMIF(Test!$D:$D,Rekap!D43,Test!$AE:$AE),IF($M$2="04",SUMIF(Test!$D:$D,Rekap!D43,Test!$AF:$AF),IF($M$2="05",SUMIF(Test!$D:$D,Rekap!D43,Test!$AG:$AG),IF($M$2="06",SUMIF(Test!$D:$D,Rekap!D43,Test!$AH:$AH),IF($M$2="07",SUMIF(Test!$D:$D,Rekap!D43,Test!$AI:$AI),IF($M$2="08",SUMIF(Test!$D:$D,Rekap!D43,Test!$AJ:$AJ),IF($M$2="09",SUMIF(Test!$D:$D,Rekap!D43,Test!$AK:$AK),IF($M$2="10",SUMIF(Test!$D:$D,Rekap!D43,Test!$AL:$AL),IF($M$2="11",SUMIF(Test!$D:$D,Rekap!D43,Test!$AM:$AM),IF($M$2="12",SUMIF(Test!$D:$D,Rekap!D43,Test!$AN:$AN),0))))))))))))</f>
        <v>6</v>
      </c>
    </row>
    <row r="44" spans="1:13" ht="15" customHeight="1" x14ac:dyDescent="0.25">
      <c r="A44" s="26">
        <v>38</v>
      </c>
      <c r="B44" s="27" t="str">
        <f>Absensi!B42</f>
        <v>Gudang A</v>
      </c>
      <c r="C44" s="27" t="str">
        <f>Absensi!C42</f>
        <v>Sapto Fama</v>
      </c>
      <c r="D44" s="27" t="str">
        <f t="shared" si="0"/>
        <v>Gudang ASapto Fama</v>
      </c>
      <c r="E44" s="1">
        <f>COUNTIFS(Absensi!$D42:$ND42,Rekap!E$6,Absensi!$D$2:$ND$2,$M$2)</f>
        <v>0</v>
      </c>
      <c r="F44" s="1">
        <f>COUNTIFS(Absensi!$D42:$ND42,Rekap!F$6,Absensi!$D$2:$ND$2,$M$2)</f>
        <v>0</v>
      </c>
      <c r="G44" s="1">
        <f>COUNTIFS(Absensi!$D42:$ND42,Rekap!G$6,Absensi!$D$2:$ND$2,$M$2)</f>
        <v>0</v>
      </c>
      <c r="H44" s="1">
        <f>COUNTIFS(Absensi!$D42:$ND42,Rekap!H$6,Absensi!$D$2:$ND$2,$M$2)</f>
        <v>1</v>
      </c>
      <c r="I44" s="1">
        <f>COUNTIFS(Absensi!$D42:$ND42,Rekap!I$6,Absensi!$D$2:$ND$2,$M$2)</f>
        <v>0</v>
      </c>
      <c r="J44" s="1">
        <f>COUNTIFS(Absensi!$D42:$ND42,Rekap!J$6,Absensi!$D$2:$ND$2,$M$2)</f>
        <v>0</v>
      </c>
      <c r="K44" s="1"/>
      <c r="L44" s="1"/>
      <c r="M44" s="47">
        <f>IF($M$2="01",SUMIF(Test!$D:$D,Rekap!D44,Test!$AC:$AC),IF($M$2="02",SUMIF(Test!$D:$D,Rekap!D44,Test!$AD:$AD),IF($M$2="03",SUMIF(Test!$D:$D,Rekap!D44,Test!$AE:$AE),IF($M$2="04",SUMIF(Test!$D:$D,Rekap!D44,Test!$AF:$AF),IF($M$2="05",SUMIF(Test!$D:$D,Rekap!D44,Test!$AG:$AG),IF($M$2="06",SUMIF(Test!$D:$D,Rekap!D44,Test!$AH:$AH),IF($M$2="07",SUMIF(Test!$D:$D,Rekap!D44,Test!$AI:$AI),IF($M$2="08",SUMIF(Test!$D:$D,Rekap!D44,Test!$AJ:$AJ),IF($M$2="09",SUMIF(Test!$D:$D,Rekap!D44,Test!$AK:$AK),IF($M$2="10",SUMIF(Test!$D:$D,Rekap!D44,Test!$AL:$AL),IF($M$2="11",SUMIF(Test!$D:$D,Rekap!D44,Test!$AM:$AM),IF($M$2="12",SUMIF(Test!$D:$D,Rekap!D44,Test!$AN:$AN),0))))))))))))</f>
        <v>4</v>
      </c>
    </row>
    <row r="45" spans="1:13" ht="15" customHeight="1" x14ac:dyDescent="0.25">
      <c r="A45" s="26">
        <v>39</v>
      </c>
      <c r="B45" s="27" t="str">
        <f>Absensi!B43</f>
        <v>Gudang A</v>
      </c>
      <c r="C45" s="27" t="str">
        <f>Absensi!C43</f>
        <v>Pandu Galih Prakoso</v>
      </c>
      <c r="D45" s="27" t="str">
        <f t="shared" si="0"/>
        <v>Gudang APandu Galih Prakoso</v>
      </c>
      <c r="E45" s="1">
        <f>COUNTIFS(Absensi!$D43:$ND43,Rekap!E$6,Absensi!$D$2:$ND$2,$M$2)</f>
        <v>0</v>
      </c>
      <c r="F45" s="1">
        <f>COUNTIFS(Absensi!$D43:$ND43,Rekap!F$6,Absensi!$D$2:$ND$2,$M$2)</f>
        <v>0</v>
      </c>
      <c r="G45" s="1">
        <f>COUNTIFS(Absensi!$D43:$ND43,Rekap!G$6,Absensi!$D$2:$ND$2,$M$2)</f>
        <v>0</v>
      </c>
      <c r="H45" s="1">
        <f>COUNTIFS(Absensi!$D43:$ND43,Rekap!H$6,Absensi!$D$2:$ND$2,$M$2)</f>
        <v>0</v>
      </c>
      <c r="I45" s="1">
        <f>COUNTIFS(Absensi!$D43:$ND43,Rekap!I$6,Absensi!$D$2:$ND$2,$M$2)</f>
        <v>0</v>
      </c>
      <c r="J45" s="1">
        <f>COUNTIFS(Absensi!$D43:$ND43,Rekap!J$6,Absensi!$D$2:$ND$2,$M$2)</f>
        <v>0</v>
      </c>
      <c r="K45" s="1"/>
      <c r="L45" s="1"/>
      <c r="M45" s="47">
        <f>IF($M$2="01",SUMIF(Test!$D:$D,Rekap!D45,Test!$AC:$AC),IF($M$2="02",SUMIF(Test!$D:$D,Rekap!D45,Test!$AD:$AD),IF($M$2="03",SUMIF(Test!$D:$D,Rekap!D45,Test!$AE:$AE),IF($M$2="04",SUMIF(Test!$D:$D,Rekap!D45,Test!$AF:$AF),IF($M$2="05",SUMIF(Test!$D:$D,Rekap!D45,Test!$AG:$AG),IF($M$2="06",SUMIF(Test!$D:$D,Rekap!D45,Test!$AH:$AH),IF($M$2="07",SUMIF(Test!$D:$D,Rekap!D45,Test!$AI:$AI),IF($M$2="08",SUMIF(Test!$D:$D,Rekap!D45,Test!$AJ:$AJ),IF($M$2="09",SUMIF(Test!$D:$D,Rekap!D45,Test!$AK:$AK),IF($M$2="10",SUMIF(Test!$D:$D,Rekap!D45,Test!$AL:$AL),IF($M$2="11",SUMIF(Test!$D:$D,Rekap!D45,Test!$AM:$AM),IF($M$2="12",SUMIF(Test!$D:$D,Rekap!D45,Test!$AN:$AN),0))))))))))))</f>
        <v>4.5</v>
      </c>
    </row>
    <row r="46" spans="1:13" ht="15" customHeight="1" x14ac:dyDescent="0.25">
      <c r="A46" s="26">
        <v>40</v>
      </c>
      <c r="B46" s="27" t="str">
        <f>Absensi!B44</f>
        <v>Gudang A</v>
      </c>
      <c r="C46" s="27" t="str">
        <f>Absensi!C44</f>
        <v>Anna Virlya Aryanto</v>
      </c>
      <c r="D46" s="27" t="str">
        <f t="shared" si="0"/>
        <v>Gudang AAnna Virlya Aryanto</v>
      </c>
      <c r="E46" s="1">
        <f>COUNTIFS(Absensi!$D44:$ND44,Rekap!E$6,Absensi!$D$2:$ND$2,$M$2)</f>
        <v>0</v>
      </c>
      <c r="F46" s="1">
        <f>COUNTIFS(Absensi!$D44:$ND44,Rekap!F$6,Absensi!$D$2:$ND$2,$M$2)</f>
        <v>0</v>
      </c>
      <c r="G46" s="1">
        <f>COUNTIFS(Absensi!$D44:$ND44,Rekap!G$6,Absensi!$D$2:$ND$2,$M$2)</f>
        <v>0</v>
      </c>
      <c r="H46" s="1">
        <f>COUNTIFS(Absensi!$D44:$ND44,Rekap!H$6,Absensi!$D$2:$ND$2,$M$2)</f>
        <v>2</v>
      </c>
      <c r="I46" s="1">
        <f>COUNTIFS(Absensi!$D44:$ND44,Rekap!I$6,Absensi!$D$2:$ND$2,$M$2)</f>
        <v>0</v>
      </c>
      <c r="J46" s="1">
        <f>COUNTIFS(Absensi!$D44:$ND44,Rekap!J$6,Absensi!$D$2:$ND$2,$M$2)</f>
        <v>0</v>
      </c>
      <c r="K46" s="1"/>
      <c r="L46" s="1"/>
      <c r="M46" s="47">
        <f>IF($M$2="01",SUMIF(Test!$D:$D,Rekap!D46,Test!$AC:$AC),IF($M$2="02",SUMIF(Test!$D:$D,Rekap!D46,Test!$AD:$AD),IF($M$2="03",SUMIF(Test!$D:$D,Rekap!D46,Test!$AE:$AE),IF($M$2="04",SUMIF(Test!$D:$D,Rekap!D46,Test!$AF:$AF),IF($M$2="05",SUMIF(Test!$D:$D,Rekap!D46,Test!$AG:$AG),IF($M$2="06",SUMIF(Test!$D:$D,Rekap!D46,Test!$AH:$AH),IF($M$2="07",SUMIF(Test!$D:$D,Rekap!D46,Test!$AI:$AI),IF($M$2="08",SUMIF(Test!$D:$D,Rekap!D46,Test!$AJ:$AJ),IF($M$2="09",SUMIF(Test!$D:$D,Rekap!D46,Test!$AK:$AK),IF($M$2="10",SUMIF(Test!$D:$D,Rekap!D46,Test!$AL:$AL),IF($M$2="11",SUMIF(Test!$D:$D,Rekap!D46,Test!$AM:$AM),IF($M$2="12",SUMIF(Test!$D:$D,Rekap!D46,Test!$AN:$AN),0))))))))))))</f>
        <v>8.5</v>
      </c>
    </row>
    <row r="47" spans="1:13" ht="15" customHeight="1" x14ac:dyDescent="0.25">
      <c r="A47" s="26">
        <v>41</v>
      </c>
      <c r="B47" s="27" t="str">
        <f>Absensi!B45</f>
        <v>Gudang A</v>
      </c>
      <c r="C47" s="27" t="str">
        <f>Absensi!C45</f>
        <v>Fachrial Akbar</v>
      </c>
      <c r="D47" s="27" t="str">
        <f t="shared" si="0"/>
        <v>Gudang AFachrial Akbar</v>
      </c>
      <c r="E47" s="1">
        <f>COUNTIFS(Absensi!$D45:$ND45,Rekap!E$6,Absensi!$D$2:$ND$2,$M$2)</f>
        <v>0</v>
      </c>
      <c r="F47" s="1">
        <f>COUNTIFS(Absensi!$D45:$ND45,Rekap!F$6,Absensi!$D$2:$ND$2,$M$2)</f>
        <v>0</v>
      </c>
      <c r="G47" s="1">
        <f>COUNTIFS(Absensi!$D45:$ND45,Rekap!G$6,Absensi!$D$2:$ND$2,$M$2)</f>
        <v>0</v>
      </c>
      <c r="H47" s="1">
        <f>COUNTIFS(Absensi!$D45:$ND45,Rekap!H$6,Absensi!$D$2:$ND$2,$M$2)</f>
        <v>0</v>
      </c>
      <c r="I47" s="1">
        <f>COUNTIFS(Absensi!$D45:$ND45,Rekap!I$6,Absensi!$D$2:$ND$2,$M$2)</f>
        <v>0</v>
      </c>
      <c r="J47" s="1">
        <f>COUNTIFS(Absensi!$D45:$ND45,Rekap!J$6,Absensi!$D$2:$ND$2,$M$2)</f>
        <v>0</v>
      </c>
      <c r="K47" s="1"/>
      <c r="L47" s="1"/>
      <c r="M47" s="47">
        <f>IF($M$2="01",SUMIF(Test!$D:$D,Rekap!D47,Test!$AC:$AC),IF($M$2="02",SUMIF(Test!$D:$D,Rekap!D47,Test!$AD:$AD),IF($M$2="03",SUMIF(Test!$D:$D,Rekap!D47,Test!$AE:$AE),IF($M$2="04",SUMIF(Test!$D:$D,Rekap!D47,Test!$AF:$AF),IF($M$2="05",SUMIF(Test!$D:$D,Rekap!D47,Test!$AG:$AG),IF($M$2="06",SUMIF(Test!$D:$D,Rekap!D47,Test!$AH:$AH),IF($M$2="07",SUMIF(Test!$D:$D,Rekap!D47,Test!$AI:$AI),IF($M$2="08",SUMIF(Test!$D:$D,Rekap!D47,Test!$AJ:$AJ),IF($M$2="09",SUMIF(Test!$D:$D,Rekap!D47,Test!$AK:$AK),IF($M$2="10",SUMIF(Test!$D:$D,Rekap!D47,Test!$AL:$AL),IF($M$2="11",SUMIF(Test!$D:$D,Rekap!D47,Test!$AM:$AM),IF($M$2="12",SUMIF(Test!$D:$D,Rekap!D47,Test!$AN:$AN),0))))))))))))</f>
        <v>12</v>
      </c>
    </row>
    <row r="48" spans="1:13" ht="15" customHeight="1" x14ac:dyDescent="0.25">
      <c r="A48" s="26">
        <v>42</v>
      </c>
      <c r="B48" s="27" t="str">
        <f>Absensi!B46</f>
        <v>Gudang A</v>
      </c>
      <c r="C48" s="27" t="str">
        <f>Absensi!C46</f>
        <v>Daffa Marcel Alfarras</v>
      </c>
      <c r="D48" s="27" t="str">
        <f t="shared" si="0"/>
        <v>Gudang ADaffa Marcel Alfarras</v>
      </c>
      <c r="E48" s="1">
        <f>COUNTIFS(Absensi!$D46:$ND46,Rekap!E$6,Absensi!$D$2:$ND$2,$M$2)</f>
        <v>0</v>
      </c>
      <c r="F48" s="1">
        <f>COUNTIFS(Absensi!$D46:$ND46,Rekap!F$6,Absensi!$D$2:$ND$2,$M$2)</f>
        <v>0</v>
      </c>
      <c r="G48" s="1">
        <f>COUNTIFS(Absensi!$D46:$ND46,Rekap!G$6,Absensi!$D$2:$ND$2,$M$2)</f>
        <v>0</v>
      </c>
      <c r="H48" s="1">
        <f>COUNTIFS(Absensi!$D46:$ND46,Rekap!H$6,Absensi!$D$2:$ND$2,$M$2)</f>
        <v>0</v>
      </c>
      <c r="I48" s="1">
        <f>COUNTIFS(Absensi!$D46:$ND46,Rekap!I$6,Absensi!$D$2:$ND$2,$M$2)</f>
        <v>0</v>
      </c>
      <c r="J48" s="1">
        <f>COUNTIFS(Absensi!$D46:$ND46,Rekap!J$6,Absensi!$D$2:$ND$2,$M$2)</f>
        <v>0</v>
      </c>
      <c r="K48" s="1"/>
      <c r="L48" s="1"/>
      <c r="M48" s="47">
        <f>IF($M$2="01",SUMIF(Test!$D:$D,Rekap!D48,Test!$AC:$AC),IF($M$2="02",SUMIF(Test!$D:$D,Rekap!D48,Test!$AD:$AD),IF($M$2="03",SUMIF(Test!$D:$D,Rekap!D48,Test!$AE:$AE),IF($M$2="04",SUMIF(Test!$D:$D,Rekap!D48,Test!$AF:$AF),IF($M$2="05",SUMIF(Test!$D:$D,Rekap!D48,Test!$AG:$AG),IF($M$2="06",SUMIF(Test!$D:$D,Rekap!D48,Test!$AH:$AH),IF($M$2="07",SUMIF(Test!$D:$D,Rekap!D48,Test!$AI:$AI),IF($M$2="08",SUMIF(Test!$D:$D,Rekap!D48,Test!$AJ:$AJ),IF($M$2="09",SUMIF(Test!$D:$D,Rekap!D48,Test!$AK:$AK),IF($M$2="10",SUMIF(Test!$D:$D,Rekap!D48,Test!$AL:$AL),IF($M$2="11",SUMIF(Test!$D:$D,Rekap!D48,Test!$AM:$AM),IF($M$2="12",SUMIF(Test!$D:$D,Rekap!D48,Test!$AN:$AN),0))))))))))))</f>
        <v>9</v>
      </c>
    </row>
    <row r="49" spans="1:13" ht="15" customHeight="1" x14ac:dyDescent="0.25">
      <c r="A49" s="26">
        <v>43</v>
      </c>
      <c r="B49" s="27" t="str">
        <f>Absensi!B47</f>
        <v>Gudang A</v>
      </c>
      <c r="C49" s="27" t="str">
        <f>Absensi!C47</f>
        <v>Sesilia Karuna Ekaputra</v>
      </c>
      <c r="D49" s="27" t="str">
        <f t="shared" si="0"/>
        <v>Gudang ASesilia Karuna Ekaputra</v>
      </c>
      <c r="E49" s="1">
        <f>COUNTIFS(Absensi!$D47:$ND47,Rekap!E$6,Absensi!$D$2:$ND$2,$M$2)</f>
        <v>0</v>
      </c>
      <c r="F49" s="1">
        <f>COUNTIFS(Absensi!$D47:$ND47,Rekap!F$6,Absensi!$D$2:$ND$2,$M$2)</f>
        <v>0</v>
      </c>
      <c r="G49" s="1">
        <f>COUNTIFS(Absensi!$D47:$ND47,Rekap!G$6,Absensi!$D$2:$ND$2,$M$2)</f>
        <v>0</v>
      </c>
      <c r="H49" s="1">
        <f>COUNTIFS(Absensi!$D47:$ND47,Rekap!H$6,Absensi!$D$2:$ND$2,$M$2)</f>
        <v>0</v>
      </c>
      <c r="I49" s="1">
        <f>COUNTIFS(Absensi!$D47:$ND47,Rekap!I$6,Absensi!$D$2:$ND$2,$M$2)</f>
        <v>0</v>
      </c>
      <c r="J49" s="1">
        <f>COUNTIFS(Absensi!$D47:$ND47,Rekap!J$6,Absensi!$D$2:$ND$2,$M$2)</f>
        <v>0</v>
      </c>
      <c r="K49" s="1"/>
      <c r="L49" s="1"/>
      <c r="M49" s="47">
        <f>IF($M$2="01",SUMIF(Test!$D:$D,Rekap!D49,Test!$AC:$AC),IF($M$2="02",SUMIF(Test!$D:$D,Rekap!D49,Test!$AD:$AD),IF($M$2="03",SUMIF(Test!$D:$D,Rekap!D49,Test!$AE:$AE),IF($M$2="04",SUMIF(Test!$D:$D,Rekap!D49,Test!$AF:$AF),IF($M$2="05",SUMIF(Test!$D:$D,Rekap!D49,Test!$AG:$AG),IF($M$2="06",SUMIF(Test!$D:$D,Rekap!D49,Test!$AH:$AH),IF($M$2="07",SUMIF(Test!$D:$D,Rekap!D49,Test!$AI:$AI),IF($M$2="08",SUMIF(Test!$D:$D,Rekap!D49,Test!$AJ:$AJ),IF($M$2="09",SUMIF(Test!$D:$D,Rekap!D49,Test!$AK:$AK),IF($M$2="10",SUMIF(Test!$D:$D,Rekap!D49,Test!$AL:$AL),IF($M$2="11",SUMIF(Test!$D:$D,Rekap!D49,Test!$AM:$AM),IF($M$2="12",SUMIF(Test!$D:$D,Rekap!D49,Test!$AN:$AN),0))))))))))))</f>
        <v>12</v>
      </c>
    </row>
    <row r="50" spans="1:13" ht="15" customHeight="1" x14ac:dyDescent="0.25">
      <c r="A50" s="26">
        <v>44</v>
      </c>
      <c r="B50" s="27" t="str">
        <f>Absensi!B48</f>
        <v>Gudang A</v>
      </c>
      <c r="C50" s="27" t="str">
        <f>Absensi!C48</f>
        <v>Kenny Kiemas Ramdhana</v>
      </c>
      <c r="D50" s="27" t="str">
        <f t="shared" si="0"/>
        <v>Gudang AKenny Kiemas Ramdhana</v>
      </c>
      <c r="E50" s="1">
        <f>COUNTIFS(Absensi!$D48:$ND48,Rekap!E$6,Absensi!$D$2:$ND$2,$M$2)</f>
        <v>0</v>
      </c>
      <c r="F50" s="1">
        <f>COUNTIFS(Absensi!$D48:$ND48,Rekap!F$6,Absensi!$D$2:$ND$2,$M$2)</f>
        <v>0</v>
      </c>
      <c r="G50" s="1">
        <f>COUNTIFS(Absensi!$D48:$ND48,Rekap!G$6,Absensi!$D$2:$ND$2,$M$2)</f>
        <v>0</v>
      </c>
      <c r="H50" s="1">
        <f>COUNTIFS(Absensi!$D48:$ND48,Rekap!H$6,Absensi!$D$2:$ND$2,$M$2)</f>
        <v>0</v>
      </c>
      <c r="I50" s="1">
        <f>COUNTIFS(Absensi!$D48:$ND48,Rekap!I$6,Absensi!$D$2:$ND$2,$M$2)</f>
        <v>0</v>
      </c>
      <c r="J50" s="1">
        <f>COUNTIFS(Absensi!$D48:$ND48,Rekap!J$6,Absensi!$D$2:$ND$2,$M$2)</f>
        <v>0</v>
      </c>
      <c r="K50" s="1"/>
      <c r="L50" s="1"/>
      <c r="M50" s="47">
        <f>IF($M$2="01",SUMIF(Test!$D:$D,Rekap!D50,Test!$AC:$AC),IF($M$2="02",SUMIF(Test!$D:$D,Rekap!D50,Test!$AD:$AD),IF($M$2="03",SUMIF(Test!$D:$D,Rekap!D50,Test!$AE:$AE),IF($M$2="04",SUMIF(Test!$D:$D,Rekap!D50,Test!$AF:$AF),IF($M$2="05",SUMIF(Test!$D:$D,Rekap!D50,Test!$AG:$AG),IF($M$2="06",SUMIF(Test!$D:$D,Rekap!D50,Test!$AH:$AH),IF($M$2="07",SUMIF(Test!$D:$D,Rekap!D50,Test!$AI:$AI),IF($M$2="08",SUMIF(Test!$D:$D,Rekap!D50,Test!$AJ:$AJ),IF($M$2="09",SUMIF(Test!$D:$D,Rekap!D50,Test!$AK:$AK),IF($M$2="10",SUMIF(Test!$D:$D,Rekap!D50,Test!$AL:$AL),IF($M$2="11",SUMIF(Test!$D:$D,Rekap!D50,Test!$AM:$AM),IF($M$2="12",SUMIF(Test!$D:$D,Rekap!D50,Test!$AN:$AN),0))))))))))))</f>
        <v>12</v>
      </c>
    </row>
    <row r="51" spans="1:13" ht="15" customHeight="1" x14ac:dyDescent="0.25">
      <c r="A51" s="26">
        <v>45</v>
      </c>
      <c r="B51" s="27" t="str">
        <f>Absensi!B49</f>
        <v>Gudang C</v>
      </c>
      <c r="C51" s="27" t="str">
        <f>Absensi!C49</f>
        <v>Andi Santanu</v>
      </c>
      <c r="D51" s="27" t="str">
        <f t="shared" si="0"/>
        <v>Gudang CAndi Santanu</v>
      </c>
      <c r="E51" s="1">
        <f>COUNTIFS(Absensi!$D49:$ND49,Rekap!E$6,Absensi!$D$2:$ND$2,$M$2)</f>
        <v>0</v>
      </c>
      <c r="F51" s="1">
        <f>COUNTIFS(Absensi!$D49:$ND49,Rekap!F$6,Absensi!$D$2:$ND$2,$M$2)</f>
        <v>0</v>
      </c>
      <c r="G51" s="1">
        <f>COUNTIFS(Absensi!$D49:$ND49,Rekap!G$6,Absensi!$D$2:$ND$2,$M$2)</f>
        <v>0</v>
      </c>
      <c r="H51" s="1">
        <f>COUNTIFS(Absensi!$D49:$ND49,Rekap!H$6,Absensi!$D$2:$ND$2,$M$2)</f>
        <v>0</v>
      </c>
      <c r="I51" s="1">
        <f>COUNTIFS(Absensi!$D49:$ND49,Rekap!I$6,Absensi!$D$2:$ND$2,$M$2)</f>
        <v>0</v>
      </c>
      <c r="J51" s="1">
        <f>COUNTIFS(Absensi!$D49:$ND49,Rekap!J$6,Absensi!$D$2:$ND$2,$M$2)</f>
        <v>0</v>
      </c>
      <c r="K51" s="1"/>
      <c r="L51" s="1"/>
      <c r="M51" s="47">
        <f>IF($M$2="01",SUMIF(Test!$D:$D,Rekap!D51,Test!$AC:$AC),IF($M$2="02",SUMIF(Test!$D:$D,Rekap!D51,Test!$AD:$AD),IF($M$2="03",SUMIF(Test!$D:$D,Rekap!D51,Test!$AE:$AE),IF($M$2="04",SUMIF(Test!$D:$D,Rekap!D51,Test!$AF:$AF),IF($M$2="05",SUMIF(Test!$D:$D,Rekap!D51,Test!$AG:$AG),IF($M$2="06",SUMIF(Test!$D:$D,Rekap!D51,Test!$AH:$AH),IF($M$2="07",SUMIF(Test!$D:$D,Rekap!D51,Test!$AI:$AI),IF($M$2="08",SUMIF(Test!$D:$D,Rekap!D51,Test!$AJ:$AJ),IF($M$2="09",SUMIF(Test!$D:$D,Rekap!D51,Test!$AK:$AK),IF($M$2="10",SUMIF(Test!$D:$D,Rekap!D51,Test!$AL:$AL),IF($M$2="11",SUMIF(Test!$D:$D,Rekap!D51,Test!$AM:$AM),IF($M$2="12",SUMIF(Test!$D:$D,Rekap!D51,Test!$AN:$AN),0))))))))))))</f>
        <v>9</v>
      </c>
    </row>
    <row r="52" spans="1:13" ht="15" customHeight="1" x14ac:dyDescent="0.25">
      <c r="A52" s="26">
        <v>46</v>
      </c>
      <c r="B52" s="27" t="str">
        <f>Absensi!B50</f>
        <v>Gudang C</v>
      </c>
      <c r="C52" s="27" t="str">
        <f>Absensi!C50</f>
        <v>Aat Ahmad Hidayat</v>
      </c>
      <c r="D52" s="27" t="str">
        <f t="shared" si="0"/>
        <v>Gudang CAat Ahmad Hidayat</v>
      </c>
      <c r="E52" s="1">
        <f>COUNTIFS(Absensi!$D50:$ND50,Rekap!E$6,Absensi!$D$2:$ND$2,$M$2)</f>
        <v>0</v>
      </c>
      <c r="F52" s="1">
        <f>COUNTIFS(Absensi!$D50:$ND50,Rekap!F$6,Absensi!$D$2:$ND$2,$M$2)</f>
        <v>0</v>
      </c>
      <c r="G52" s="1">
        <f>COUNTIFS(Absensi!$D50:$ND50,Rekap!G$6,Absensi!$D$2:$ND$2,$M$2)</f>
        <v>0</v>
      </c>
      <c r="H52" s="1">
        <f>COUNTIFS(Absensi!$D50:$ND50,Rekap!H$6,Absensi!$D$2:$ND$2,$M$2)</f>
        <v>0</v>
      </c>
      <c r="I52" s="1">
        <f>COUNTIFS(Absensi!$D50:$ND50,Rekap!I$6,Absensi!$D$2:$ND$2,$M$2)</f>
        <v>0</v>
      </c>
      <c r="J52" s="1">
        <f>COUNTIFS(Absensi!$D50:$ND50,Rekap!J$6,Absensi!$D$2:$ND$2,$M$2)</f>
        <v>0</v>
      </c>
      <c r="K52" s="1"/>
      <c r="L52" s="1"/>
      <c r="M52" s="47">
        <f>IF($M$2="01",SUMIF(Test!$D:$D,Rekap!D52,Test!$AC:$AC),IF($M$2="02",SUMIF(Test!$D:$D,Rekap!D52,Test!$AD:$AD),IF($M$2="03",SUMIF(Test!$D:$D,Rekap!D52,Test!$AE:$AE),IF($M$2="04",SUMIF(Test!$D:$D,Rekap!D52,Test!$AF:$AF),IF($M$2="05",SUMIF(Test!$D:$D,Rekap!D52,Test!$AG:$AG),IF($M$2="06",SUMIF(Test!$D:$D,Rekap!D52,Test!$AH:$AH),IF($M$2="07",SUMIF(Test!$D:$D,Rekap!D52,Test!$AI:$AI),IF($M$2="08",SUMIF(Test!$D:$D,Rekap!D52,Test!$AJ:$AJ),IF($M$2="09",SUMIF(Test!$D:$D,Rekap!D52,Test!$AK:$AK),IF($M$2="10",SUMIF(Test!$D:$D,Rekap!D52,Test!$AL:$AL),IF($M$2="11",SUMIF(Test!$D:$D,Rekap!D52,Test!$AM:$AM),IF($M$2="12",SUMIF(Test!$D:$D,Rekap!D52,Test!$AN:$AN),0))))))))))))</f>
        <v>8</v>
      </c>
    </row>
    <row r="53" spans="1:13" ht="15" customHeight="1" x14ac:dyDescent="0.25">
      <c r="A53" s="26">
        <v>47</v>
      </c>
      <c r="B53" s="27" t="str">
        <f>Absensi!B51</f>
        <v>Gudang C</v>
      </c>
      <c r="C53" s="27" t="str">
        <f>Absensi!C51</f>
        <v>Noval Handika</v>
      </c>
      <c r="D53" s="27" t="str">
        <f t="shared" si="0"/>
        <v>Gudang CNoval Handika</v>
      </c>
      <c r="E53" s="1">
        <f>COUNTIFS(Absensi!$D51:$ND51,Rekap!E$6,Absensi!$D$2:$ND$2,$M$2)</f>
        <v>0</v>
      </c>
      <c r="F53" s="1">
        <f>COUNTIFS(Absensi!$D51:$ND51,Rekap!F$6,Absensi!$D$2:$ND$2,$M$2)</f>
        <v>1</v>
      </c>
      <c r="G53" s="1">
        <f>COUNTIFS(Absensi!$D51:$ND51,Rekap!G$6,Absensi!$D$2:$ND$2,$M$2)</f>
        <v>0</v>
      </c>
      <c r="H53" s="1">
        <f>COUNTIFS(Absensi!$D51:$ND51,Rekap!H$6,Absensi!$D$2:$ND$2,$M$2)</f>
        <v>0</v>
      </c>
      <c r="I53" s="1">
        <f>COUNTIFS(Absensi!$D51:$ND51,Rekap!I$6,Absensi!$D$2:$ND$2,$M$2)</f>
        <v>0</v>
      </c>
      <c r="J53" s="1">
        <f>COUNTIFS(Absensi!$D51:$ND51,Rekap!J$6,Absensi!$D$2:$ND$2,$M$2)</f>
        <v>0</v>
      </c>
      <c r="K53" s="1"/>
      <c r="L53" s="1"/>
      <c r="M53" s="47">
        <f>IF($M$2="01",SUMIF(Test!$D:$D,Rekap!D53,Test!$AC:$AC),IF($M$2="02",SUMIF(Test!$D:$D,Rekap!D53,Test!$AD:$AD),IF($M$2="03",SUMIF(Test!$D:$D,Rekap!D53,Test!$AE:$AE),IF($M$2="04",SUMIF(Test!$D:$D,Rekap!D53,Test!$AF:$AF),IF($M$2="05",SUMIF(Test!$D:$D,Rekap!D53,Test!$AG:$AG),IF($M$2="06",SUMIF(Test!$D:$D,Rekap!D53,Test!$AH:$AH),IF($M$2="07",SUMIF(Test!$D:$D,Rekap!D53,Test!$AI:$AI),IF($M$2="08",SUMIF(Test!$D:$D,Rekap!D53,Test!$AJ:$AJ),IF($M$2="09",SUMIF(Test!$D:$D,Rekap!D53,Test!$AK:$AK),IF($M$2="10",SUMIF(Test!$D:$D,Rekap!D53,Test!$AL:$AL),IF($M$2="11",SUMIF(Test!$D:$D,Rekap!D53,Test!$AM:$AM),IF($M$2="12",SUMIF(Test!$D:$D,Rekap!D53,Test!$AN:$AN),0))))))))))))</f>
        <v>6</v>
      </c>
    </row>
    <row r="54" spans="1:13" ht="15" customHeight="1" x14ac:dyDescent="0.25">
      <c r="A54" s="26">
        <v>48</v>
      </c>
      <c r="B54" s="27" t="str">
        <f>Absensi!B52</f>
        <v>Gudang C</v>
      </c>
      <c r="C54" s="27" t="str">
        <f>Absensi!C52</f>
        <v>Muhammad Hopid</v>
      </c>
      <c r="D54" s="27" t="str">
        <f t="shared" si="0"/>
        <v>Gudang CMuhammad Hopid</v>
      </c>
      <c r="E54" s="1">
        <f>COUNTIFS(Absensi!$D52:$ND52,Rekap!E$6,Absensi!$D$2:$ND$2,$M$2)</f>
        <v>0</v>
      </c>
      <c r="F54" s="1">
        <f>COUNTIFS(Absensi!$D52:$ND52,Rekap!F$6,Absensi!$D$2:$ND$2,$M$2)</f>
        <v>0</v>
      </c>
      <c r="G54" s="1">
        <f>COUNTIFS(Absensi!$D52:$ND52,Rekap!G$6,Absensi!$D$2:$ND$2,$M$2)</f>
        <v>0</v>
      </c>
      <c r="H54" s="1">
        <f>COUNTIFS(Absensi!$D52:$ND52,Rekap!H$6,Absensi!$D$2:$ND$2,$M$2)</f>
        <v>0</v>
      </c>
      <c r="I54" s="1">
        <f>COUNTIFS(Absensi!$D52:$ND52,Rekap!I$6,Absensi!$D$2:$ND$2,$M$2)</f>
        <v>0</v>
      </c>
      <c r="J54" s="1">
        <f>COUNTIFS(Absensi!$D52:$ND52,Rekap!J$6,Absensi!$D$2:$ND$2,$M$2)</f>
        <v>0</v>
      </c>
      <c r="K54" s="1"/>
      <c r="L54" s="1"/>
      <c r="M54" s="47">
        <f>IF($M$2="01",SUMIF(Test!$D:$D,Rekap!D54,Test!$AC:$AC),IF($M$2="02",SUMIF(Test!$D:$D,Rekap!D54,Test!$AD:$AD),IF($M$2="03",SUMIF(Test!$D:$D,Rekap!D54,Test!$AE:$AE),IF($M$2="04",SUMIF(Test!$D:$D,Rekap!D54,Test!$AF:$AF),IF($M$2="05",SUMIF(Test!$D:$D,Rekap!D54,Test!$AG:$AG),IF($M$2="06",SUMIF(Test!$D:$D,Rekap!D54,Test!$AH:$AH),IF($M$2="07",SUMIF(Test!$D:$D,Rekap!D54,Test!$AI:$AI),IF($M$2="08",SUMIF(Test!$D:$D,Rekap!D54,Test!$AJ:$AJ),IF($M$2="09",SUMIF(Test!$D:$D,Rekap!D54,Test!$AK:$AK),IF($M$2="10",SUMIF(Test!$D:$D,Rekap!D54,Test!$AL:$AL),IF($M$2="11",SUMIF(Test!$D:$D,Rekap!D54,Test!$AM:$AM),IF($M$2="12",SUMIF(Test!$D:$D,Rekap!D54,Test!$AN:$AN),0))))))))))))</f>
        <v>2</v>
      </c>
    </row>
    <row r="55" spans="1:13" ht="15" customHeight="1" x14ac:dyDescent="0.25">
      <c r="A55" s="26">
        <v>49</v>
      </c>
      <c r="B55" s="27" t="str">
        <f>Absensi!B53</f>
        <v>Gudang C</v>
      </c>
      <c r="C55" s="27" t="str">
        <f>Absensi!C53</f>
        <v>Taopik Hidayat</v>
      </c>
      <c r="D55" s="27" t="str">
        <f t="shared" si="0"/>
        <v>Gudang CTaopik Hidayat</v>
      </c>
      <c r="E55" s="1">
        <f>COUNTIFS(Absensi!$D53:$ND53,Rekap!E$6,Absensi!$D$2:$ND$2,$M$2)</f>
        <v>0</v>
      </c>
      <c r="F55" s="1">
        <f>COUNTIFS(Absensi!$D53:$ND53,Rekap!F$6,Absensi!$D$2:$ND$2,$M$2)</f>
        <v>0</v>
      </c>
      <c r="G55" s="1">
        <f>COUNTIFS(Absensi!$D53:$ND53,Rekap!G$6,Absensi!$D$2:$ND$2,$M$2)</f>
        <v>0</v>
      </c>
      <c r="H55" s="1">
        <f>COUNTIFS(Absensi!$D53:$ND53,Rekap!H$6,Absensi!$D$2:$ND$2,$M$2)</f>
        <v>0</v>
      </c>
      <c r="I55" s="1">
        <f>COUNTIFS(Absensi!$D53:$ND53,Rekap!I$6,Absensi!$D$2:$ND$2,$M$2)</f>
        <v>0</v>
      </c>
      <c r="J55" s="1">
        <f>COUNTIFS(Absensi!$D53:$ND53,Rekap!J$6,Absensi!$D$2:$ND$2,$M$2)</f>
        <v>0</v>
      </c>
      <c r="K55" s="1"/>
      <c r="L55" s="1"/>
      <c r="M55" s="47">
        <f>IF($M$2="01",SUMIF(Test!$D:$D,Rekap!D55,Test!$AC:$AC),IF($M$2="02",SUMIF(Test!$D:$D,Rekap!D55,Test!$AD:$AD),IF($M$2="03",SUMIF(Test!$D:$D,Rekap!D55,Test!$AE:$AE),IF($M$2="04",SUMIF(Test!$D:$D,Rekap!D55,Test!$AF:$AF),IF($M$2="05",SUMIF(Test!$D:$D,Rekap!D55,Test!$AG:$AG),IF($M$2="06",SUMIF(Test!$D:$D,Rekap!D55,Test!$AH:$AH),IF($M$2="07",SUMIF(Test!$D:$D,Rekap!D55,Test!$AI:$AI),IF($M$2="08",SUMIF(Test!$D:$D,Rekap!D55,Test!$AJ:$AJ),IF($M$2="09",SUMIF(Test!$D:$D,Rekap!D55,Test!$AK:$AK),IF($M$2="10",SUMIF(Test!$D:$D,Rekap!D55,Test!$AL:$AL),IF($M$2="11",SUMIF(Test!$D:$D,Rekap!D55,Test!$AM:$AM),IF($M$2="12",SUMIF(Test!$D:$D,Rekap!D55,Test!$AN:$AN),0))))))))))))</f>
        <v>4</v>
      </c>
    </row>
    <row r="56" spans="1:13" ht="15" customHeight="1" x14ac:dyDescent="0.25">
      <c r="A56" s="26">
        <v>50</v>
      </c>
      <c r="B56" s="27" t="str">
        <f>Absensi!B54</f>
        <v>Gudang C</v>
      </c>
      <c r="C56" s="27" t="str">
        <f>Absensi!C54</f>
        <v>Iwan Kosasih</v>
      </c>
      <c r="D56" s="27" t="str">
        <f t="shared" si="0"/>
        <v>Gudang CIwan Kosasih</v>
      </c>
      <c r="E56" s="1">
        <f>COUNTIFS(Absensi!$D54:$ND54,Rekap!E$6,Absensi!$D$2:$ND$2,$M$2)</f>
        <v>0</v>
      </c>
      <c r="F56" s="1">
        <f>COUNTIFS(Absensi!$D54:$ND54,Rekap!F$6,Absensi!$D$2:$ND$2,$M$2)</f>
        <v>1</v>
      </c>
      <c r="G56" s="1">
        <f>COUNTIFS(Absensi!$D54:$ND54,Rekap!G$6,Absensi!$D$2:$ND$2,$M$2)</f>
        <v>0</v>
      </c>
      <c r="H56" s="1">
        <f>COUNTIFS(Absensi!$D54:$ND54,Rekap!H$6,Absensi!$D$2:$ND$2,$M$2)</f>
        <v>0</v>
      </c>
      <c r="I56" s="1">
        <f>COUNTIFS(Absensi!$D54:$ND54,Rekap!I$6,Absensi!$D$2:$ND$2,$M$2)</f>
        <v>0</v>
      </c>
      <c r="J56" s="1">
        <f>COUNTIFS(Absensi!$D54:$ND54,Rekap!J$6,Absensi!$D$2:$ND$2,$M$2)</f>
        <v>0</v>
      </c>
      <c r="K56" s="1"/>
      <c r="L56" s="1"/>
      <c r="M56" s="47">
        <f>IF($M$2="01",SUMIF(Test!$D:$D,Rekap!D56,Test!$AC:$AC),IF($M$2="02",SUMIF(Test!$D:$D,Rekap!D56,Test!$AD:$AD),IF($M$2="03",SUMIF(Test!$D:$D,Rekap!D56,Test!$AE:$AE),IF($M$2="04",SUMIF(Test!$D:$D,Rekap!D56,Test!$AF:$AF),IF($M$2="05",SUMIF(Test!$D:$D,Rekap!D56,Test!$AG:$AG),IF($M$2="06",SUMIF(Test!$D:$D,Rekap!D56,Test!$AH:$AH),IF($M$2="07",SUMIF(Test!$D:$D,Rekap!D56,Test!$AI:$AI),IF($M$2="08",SUMIF(Test!$D:$D,Rekap!D56,Test!$AJ:$AJ),IF($M$2="09",SUMIF(Test!$D:$D,Rekap!D56,Test!$AK:$AK),IF($M$2="10",SUMIF(Test!$D:$D,Rekap!D56,Test!$AL:$AL),IF($M$2="11",SUMIF(Test!$D:$D,Rekap!D56,Test!$AM:$AM),IF($M$2="12",SUMIF(Test!$D:$D,Rekap!D56,Test!$AN:$AN),0))))))))))))</f>
        <v>7</v>
      </c>
    </row>
    <row r="57" spans="1:13" ht="15" customHeight="1" x14ac:dyDescent="0.25">
      <c r="A57" s="26">
        <v>51</v>
      </c>
      <c r="B57" s="27" t="str">
        <f>Absensi!B55</f>
        <v>Gudang C</v>
      </c>
      <c r="C57" s="27" t="str">
        <f>Absensi!C55</f>
        <v>Hadidtio</v>
      </c>
      <c r="D57" s="27" t="str">
        <f t="shared" si="0"/>
        <v>Gudang CHadidtio</v>
      </c>
      <c r="E57" s="1">
        <f>COUNTIFS(Absensi!$D55:$ND55,Rekap!E$6,Absensi!$D$2:$ND$2,$M$2)</f>
        <v>0</v>
      </c>
      <c r="F57" s="1">
        <f>COUNTIFS(Absensi!$D55:$ND55,Rekap!F$6,Absensi!$D$2:$ND$2,$M$2)</f>
        <v>0</v>
      </c>
      <c r="G57" s="1">
        <f>COUNTIFS(Absensi!$D55:$ND55,Rekap!G$6,Absensi!$D$2:$ND$2,$M$2)</f>
        <v>0</v>
      </c>
      <c r="H57" s="1">
        <f>COUNTIFS(Absensi!$D55:$ND55,Rekap!H$6,Absensi!$D$2:$ND$2,$M$2)</f>
        <v>0</v>
      </c>
      <c r="I57" s="1">
        <f>COUNTIFS(Absensi!$D55:$ND55,Rekap!I$6,Absensi!$D$2:$ND$2,$M$2)</f>
        <v>0</v>
      </c>
      <c r="J57" s="1">
        <f>COUNTIFS(Absensi!$D55:$ND55,Rekap!J$6,Absensi!$D$2:$ND$2,$M$2)</f>
        <v>0</v>
      </c>
      <c r="K57" s="1"/>
      <c r="L57" s="1"/>
      <c r="M57" s="47">
        <f>IF($M$2="01",SUMIF(Test!$D:$D,Rekap!D57,Test!$AC:$AC),IF($M$2="02",SUMIF(Test!$D:$D,Rekap!D57,Test!$AD:$AD),IF($M$2="03",SUMIF(Test!$D:$D,Rekap!D57,Test!$AE:$AE),IF($M$2="04",SUMIF(Test!$D:$D,Rekap!D57,Test!$AF:$AF),IF($M$2="05",SUMIF(Test!$D:$D,Rekap!D57,Test!$AG:$AG),IF($M$2="06",SUMIF(Test!$D:$D,Rekap!D57,Test!$AH:$AH),IF($M$2="07",SUMIF(Test!$D:$D,Rekap!D57,Test!$AI:$AI),IF($M$2="08",SUMIF(Test!$D:$D,Rekap!D57,Test!$AJ:$AJ),IF($M$2="09",SUMIF(Test!$D:$D,Rekap!D57,Test!$AK:$AK),IF($M$2="10",SUMIF(Test!$D:$D,Rekap!D57,Test!$AL:$AL),IF($M$2="11",SUMIF(Test!$D:$D,Rekap!D57,Test!$AM:$AM),IF($M$2="12",SUMIF(Test!$D:$D,Rekap!D57,Test!$AN:$AN),0))))))))))))</f>
        <v>3</v>
      </c>
    </row>
    <row r="58" spans="1:13" ht="15" customHeight="1" x14ac:dyDescent="0.25">
      <c r="A58" s="26">
        <v>52</v>
      </c>
      <c r="B58" s="27" t="str">
        <f>Absensi!B56</f>
        <v>Gudang C</v>
      </c>
      <c r="C58" s="27" t="str">
        <f>Absensi!C56</f>
        <v>Muhammad Yusuf</v>
      </c>
      <c r="D58" s="27" t="str">
        <f t="shared" si="0"/>
        <v>Gudang CMuhammad Yusuf</v>
      </c>
      <c r="E58" s="1">
        <f>COUNTIFS(Absensi!$D56:$ND56,Rekap!E$6,Absensi!$D$2:$ND$2,$M$2)</f>
        <v>0</v>
      </c>
      <c r="F58" s="1">
        <f>COUNTIFS(Absensi!$D56:$ND56,Rekap!F$6,Absensi!$D$2:$ND$2,$M$2)</f>
        <v>0</v>
      </c>
      <c r="G58" s="1">
        <f>COUNTIFS(Absensi!$D56:$ND56,Rekap!G$6,Absensi!$D$2:$ND$2,$M$2)</f>
        <v>0</v>
      </c>
      <c r="H58" s="1">
        <f>COUNTIFS(Absensi!$D56:$ND56,Rekap!H$6,Absensi!$D$2:$ND$2,$M$2)</f>
        <v>0</v>
      </c>
      <c r="I58" s="1">
        <f>COUNTIFS(Absensi!$D56:$ND56,Rekap!I$6,Absensi!$D$2:$ND$2,$M$2)</f>
        <v>0</v>
      </c>
      <c r="J58" s="1">
        <f>COUNTIFS(Absensi!$D56:$ND56,Rekap!J$6,Absensi!$D$2:$ND$2,$M$2)</f>
        <v>0</v>
      </c>
      <c r="K58" s="1"/>
      <c r="L58" s="1"/>
      <c r="M58" s="47">
        <f>IF($M$2="01",SUMIF(Test!$D:$D,Rekap!D58,Test!$AC:$AC),IF($M$2="02",SUMIF(Test!$D:$D,Rekap!D58,Test!$AD:$AD),IF($M$2="03",SUMIF(Test!$D:$D,Rekap!D58,Test!$AE:$AE),IF($M$2="04",SUMIF(Test!$D:$D,Rekap!D58,Test!$AF:$AF),IF($M$2="05",SUMIF(Test!$D:$D,Rekap!D58,Test!$AG:$AG),IF($M$2="06",SUMIF(Test!$D:$D,Rekap!D58,Test!$AH:$AH),IF($M$2="07",SUMIF(Test!$D:$D,Rekap!D58,Test!$AI:$AI),IF($M$2="08",SUMIF(Test!$D:$D,Rekap!D58,Test!$AJ:$AJ),IF($M$2="09",SUMIF(Test!$D:$D,Rekap!D58,Test!$AK:$AK),IF($M$2="10",SUMIF(Test!$D:$D,Rekap!D58,Test!$AL:$AL),IF($M$2="11",SUMIF(Test!$D:$D,Rekap!D58,Test!$AM:$AM),IF($M$2="12",SUMIF(Test!$D:$D,Rekap!D58,Test!$AN:$AN),0))))))))))))</f>
        <v>9</v>
      </c>
    </row>
    <row r="59" spans="1:13" ht="15" customHeight="1" x14ac:dyDescent="0.25">
      <c r="A59" s="26">
        <v>53</v>
      </c>
      <c r="B59" s="27" t="str">
        <f>Absensi!B57</f>
        <v>Gudang C</v>
      </c>
      <c r="C59" s="27" t="str">
        <f>Absensi!C57</f>
        <v>Yustari Anggraeni</v>
      </c>
      <c r="D59" s="27" t="str">
        <f t="shared" si="0"/>
        <v>Gudang CYustari Anggraeni</v>
      </c>
      <c r="E59" s="1">
        <f>COUNTIFS(Absensi!$D57:$ND57,Rekap!E$6,Absensi!$D$2:$ND$2,$M$2)</f>
        <v>0</v>
      </c>
      <c r="F59" s="1">
        <f>COUNTIFS(Absensi!$D57:$ND57,Rekap!F$6,Absensi!$D$2:$ND$2,$M$2)</f>
        <v>0</v>
      </c>
      <c r="G59" s="1">
        <f>COUNTIFS(Absensi!$D57:$ND57,Rekap!G$6,Absensi!$D$2:$ND$2,$M$2)</f>
        <v>0</v>
      </c>
      <c r="H59" s="1">
        <f>COUNTIFS(Absensi!$D57:$ND57,Rekap!H$6,Absensi!$D$2:$ND$2,$M$2)</f>
        <v>0</v>
      </c>
      <c r="I59" s="1">
        <f>COUNTIFS(Absensi!$D57:$ND57,Rekap!I$6,Absensi!$D$2:$ND$2,$M$2)</f>
        <v>0</v>
      </c>
      <c r="J59" s="1">
        <f>COUNTIFS(Absensi!$D57:$ND57,Rekap!J$6,Absensi!$D$2:$ND$2,$M$2)</f>
        <v>0</v>
      </c>
      <c r="K59" s="1"/>
      <c r="L59" s="1"/>
      <c r="M59" s="47">
        <f>IF($M$2="01",SUMIF(Test!$D:$D,Rekap!D59,Test!$AC:$AC),IF($M$2="02",SUMIF(Test!$D:$D,Rekap!D59,Test!$AD:$AD),IF($M$2="03",SUMIF(Test!$D:$D,Rekap!D59,Test!$AE:$AE),IF($M$2="04",SUMIF(Test!$D:$D,Rekap!D59,Test!$AF:$AF),IF($M$2="05",SUMIF(Test!$D:$D,Rekap!D59,Test!$AG:$AG),IF($M$2="06",SUMIF(Test!$D:$D,Rekap!D59,Test!$AH:$AH),IF($M$2="07",SUMIF(Test!$D:$D,Rekap!D59,Test!$AI:$AI),IF($M$2="08",SUMIF(Test!$D:$D,Rekap!D59,Test!$AJ:$AJ),IF($M$2="09",SUMIF(Test!$D:$D,Rekap!D59,Test!$AK:$AK),IF($M$2="10",SUMIF(Test!$D:$D,Rekap!D59,Test!$AL:$AL),IF($M$2="11",SUMIF(Test!$D:$D,Rekap!D59,Test!$AM:$AM),IF($M$2="12",SUMIF(Test!$D:$D,Rekap!D59,Test!$AN:$AN),0))))))))))))</f>
        <v>9.5</v>
      </c>
    </row>
    <row r="60" spans="1:13" ht="15" customHeight="1" x14ac:dyDescent="0.25">
      <c r="A60" s="26">
        <v>54</v>
      </c>
      <c r="B60" s="27" t="str">
        <f>Absensi!B58</f>
        <v>Gudang C</v>
      </c>
      <c r="C60" s="27" t="str">
        <f>Absensi!C58</f>
        <v>Dian Maulana</v>
      </c>
      <c r="D60" s="27" t="str">
        <f t="shared" si="0"/>
        <v>Gudang CDian Maulana</v>
      </c>
      <c r="E60" s="1">
        <f>COUNTIFS(Absensi!$D58:$ND58,Rekap!E$6,Absensi!$D$2:$ND$2,$M$2)</f>
        <v>0</v>
      </c>
      <c r="F60" s="1">
        <f>COUNTIFS(Absensi!$D58:$ND58,Rekap!F$6,Absensi!$D$2:$ND$2,$M$2)</f>
        <v>2</v>
      </c>
      <c r="G60" s="1">
        <f>COUNTIFS(Absensi!$D58:$ND58,Rekap!G$6,Absensi!$D$2:$ND$2,$M$2)</f>
        <v>0</v>
      </c>
      <c r="H60" s="1">
        <f>COUNTIFS(Absensi!$D58:$ND58,Rekap!H$6,Absensi!$D$2:$ND$2,$M$2)</f>
        <v>2</v>
      </c>
      <c r="I60" s="1">
        <f>COUNTIFS(Absensi!$D58:$ND58,Rekap!I$6,Absensi!$D$2:$ND$2,$M$2)</f>
        <v>0</v>
      </c>
      <c r="J60" s="1">
        <f>COUNTIFS(Absensi!$D58:$ND58,Rekap!J$6,Absensi!$D$2:$ND$2,$M$2)</f>
        <v>0</v>
      </c>
      <c r="K60" s="1"/>
      <c r="L60" s="1"/>
      <c r="M60" s="47">
        <f>IF($M$2="01",SUMIF(Test!$D:$D,Rekap!D60,Test!$AC:$AC),IF($M$2="02",SUMIF(Test!$D:$D,Rekap!D60,Test!$AD:$AD),IF($M$2="03",SUMIF(Test!$D:$D,Rekap!D60,Test!$AE:$AE),IF($M$2="04",SUMIF(Test!$D:$D,Rekap!D60,Test!$AF:$AF),IF($M$2="05",SUMIF(Test!$D:$D,Rekap!D60,Test!$AG:$AG),IF($M$2="06",SUMIF(Test!$D:$D,Rekap!D60,Test!$AH:$AH),IF($M$2="07",SUMIF(Test!$D:$D,Rekap!D60,Test!$AI:$AI),IF($M$2="08",SUMIF(Test!$D:$D,Rekap!D60,Test!$AJ:$AJ),IF($M$2="09",SUMIF(Test!$D:$D,Rekap!D60,Test!$AK:$AK),IF($M$2="10",SUMIF(Test!$D:$D,Rekap!D60,Test!$AL:$AL),IF($M$2="11",SUMIF(Test!$D:$D,Rekap!D60,Test!$AM:$AM),IF($M$2="12",SUMIF(Test!$D:$D,Rekap!D60,Test!$AN:$AN),0))))))))))))</f>
        <v>6</v>
      </c>
    </row>
    <row r="61" spans="1:13" ht="15" customHeight="1" x14ac:dyDescent="0.25">
      <c r="A61" s="26">
        <v>55</v>
      </c>
      <c r="B61" s="27" t="str">
        <f>Absensi!B59</f>
        <v>Gudang C</v>
      </c>
      <c r="C61" s="27" t="str">
        <f>Absensi!C59</f>
        <v>Dimas Pratama</v>
      </c>
      <c r="D61" s="27" t="str">
        <f t="shared" si="0"/>
        <v>Gudang CDimas Pratama</v>
      </c>
      <c r="E61" s="1">
        <f>COUNTIFS(Absensi!$D59:$ND59,Rekap!E$6,Absensi!$D$2:$ND$2,$M$2)</f>
        <v>0</v>
      </c>
      <c r="F61" s="1">
        <f>COUNTIFS(Absensi!$D59:$ND59,Rekap!F$6,Absensi!$D$2:$ND$2,$M$2)</f>
        <v>0</v>
      </c>
      <c r="G61" s="1">
        <f>COUNTIFS(Absensi!$D59:$ND59,Rekap!G$6,Absensi!$D$2:$ND$2,$M$2)</f>
        <v>0</v>
      </c>
      <c r="H61" s="1">
        <f>COUNTIFS(Absensi!$D59:$ND59,Rekap!H$6,Absensi!$D$2:$ND$2,$M$2)</f>
        <v>0</v>
      </c>
      <c r="I61" s="1">
        <f>COUNTIFS(Absensi!$D59:$ND59,Rekap!I$6,Absensi!$D$2:$ND$2,$M$2)</f>
        <v>0</v>
      </c>
      <c r="J61" s="1">
        <f>COUNTIFS(Absensi!$D59:$ND59,Rekap!J$6,Absensi!$D$2:$ND$2,$M$2)</f>
        <v>0</v>
      </c>
      <c r="K61" s="1"/>
      <c r="L61" s="1"/>
      <c r="M61" s="47">
        <f>IF($M$2="01",SUMIF(Test!$D:$D,Rekap!D61,Test!$AC:$AC),IF($M$2="02",SUMIF(Test!$D:$D,Rekap!D61,Test!$AD:$AD),IF($M$2="03",SUMIF(Test!$D:$D,Rekap!D61,Test!$AE:$AE),IF($M$2="04",SUMIF(Test!$D:$D,Rekap!D61,Test!$AF:$AF),IF($M$2="05",SUMIF(Test!$D:$D,Rekap!D61,Test!$AG:$AG),IF($M$2="06",SUMIF(Test!$D:$D,Rekap!D61,Test!$AH:$AH),IF($M$2="07",SUMIF(Test!$D:$D,Rekap!D61,Test!$AI:$AI),IF($M$2="08",SUMIF(Test!$D:$D,Rekap!D61,Test!$AJ:$AJ),IF($M$2="09",SUMIF(Test!$D:$D,Rekap!D61,Test!$AK:$AK),IF($M$2="10",SUMIF(Test!$D:$D,Rekap!D61,Test!$AL:$AL),IF($M$2="11",SUMIF(Test!$D:$D,Rekap!D61,Test!$AM:$AM),IF($M$2="12",SUMIF(Test!$D:$D,Rekap!D61,Test!$AN:$AN),0))))))))))))</f>
        <v>10</v>
      </c>
    </row>
    <row r="62" spans="1:13" ht="15" customHeight="1" x14ac:dyDescent="0.25">
      <c r="A62" s="26">
        <v>56</v>
      </c>
      <c r="B62" s="27" t="str">
        <f>Absensi!B60</f>
        <v>Gudang C</v>
      </c>
      <c r="C62" s="27" t="str">
        <f>Absensi!C60</f>
        <v>M. Rifqi Fauzan</v>
      </c>
      <c r="D62" s="27" t="str">
        <f t="shared" si="0"/>
        <v>Gudang CM. Rifqi Fauzan</v>
      </c>
      <c r="E62" s="1">
        <f>COUNTIFS(Absensi!$D60:$ND60,Rekap!E$6,Absensi!$D$2:$ND$2,$M$2)</f>
        <v>0</v>
      </c>
      <c r="F62" s="1">
        <f>COUNTIFS(Absensi!$D60:$ND60,Rekap!F$6,Absensi!$D$2:$ND$2,$M$2)</f>
        <v>0</v>
      </c>
      <c r="G62" s="1">
        <f>COUNTIFS(Absensi!$D60:$ND60,Rekap!G$6,Absensi!$D$2:$ND$2,$M$2)</f>
        <v>0</v>
      </c>
      <c r="H62" s="1">
        <f>COUNTIFS(Absensi!$D60:$ND60,Rekap!H$6,Absensi!$D$2:$ND$2,$M$2)</f>
        <v>0</v>
      </c>
      <c r="I62" s="1">
        <f>COUNTIFS(Absensi!$D60:$ND60,Rekap!I$6,Absensi!$D$2:$ND$2,$M$2)</f>
        <v>0</v>
      </c>
      <c r="J62" s="1">
        <f>COUNTIFS(Absensi!$D60:$ND60,Rekap!J$6,Absensi!$D$2:$ND$2,$M$2)</f>
        <v>0</v>
      </c>
      <c r="K62" s="1"/>
      <c r="L62" s="1"/>
      <c r="M62" s="47">
        <f>IF($M$2="01",SUMIF(Test!$D:$D,Rekap!D62,Test!$AC:$AC),IF($M$2="02",SUMIF(Test!$D:$D,Rekap!D62,Test!$AD:$AD),IF($M$2="03",SUMIF(Test!$D:$D,Rekap!D62,Test!$AE:$AE),IF($M$2="04",SUMIF(Test!$D:$D,Rekap!D62,Test!$AF:$AF),IF($M$2="05",SUMIF(Test!$D:$D,Rekap!D62,Test!$AG:$AG),IF($M$2="06",SUMIF(Test!$D:$D,Rekap!D62,Test!$AH:$AH),IF($M$2="07",SUMIF(Test!$D:$D,Rekap!D62,Test!$AI:$AI),IF($M$2="08",SUMIF(Test!$D:$D,Rekap!D62,Test!$AJ:$AJ),IF($M$2="09",SUMIF(Test!$D:$D,Rekap!D62,Test!$AK:$AK),IF($M$2="10",SUMIF(Test!$D:$D,Rekap!D62,Test!$AL:$AL),IF($M$2="11",SUMIF(Test!$D:$D,Rekap!D62,Test!$AM:$AM),IF($M$2="12",SUMIF(Test!$D:$D,Rekap!D62,Test!$AN:$AN),0))))))))))))</f>
        <v>10</v>
      </c>
    </row>
    <row r="63" spans="1:13" ht="15" customHeight="1" x14ac:dyDescent="0.25">
      <c r="A63" s="26">
        <v>57</v>
      </c>
      <c r="B63" s="27" t="str">
        <f>Absensi!B61</f>
        <v>Gudang C</v>
      </c>
      <c r="C63" s="27" t="str">
        <f>Absensi!C61</f>
        <v>Afriza Saputra</v>
      </c>
      <c r="D63" s="27" t="str">
        <f t="shared" si="0"/>
        <v>Gudang CAfriza Saputra</v>
      </c>
      <c r="E63" s="1">
        <f>COUNTIFS(Absensi!$D61:$ND61,Rekap!E$6,Absensi!$D$2:$ND$2,$M$2)</f>
        <v>0</v>
      </c>
      <c r="F63" s="1">
        <f>COUNTIFS(Absensi!$D61:$ND61,Rekap!F$6,Absensi!$D$2:$ND$2,$M$2)</f>
        <v>2</v>
      </c>
      <c r="G63" s="1">
        <f>COUNTIFS(Absensi!$D61:$ND61,Rekap!G$6,Absensi!$D$2:$ND$2,$M$2)</f>
        <v>0</v>
      </c>
      <c r="H63" s="1">
        <f>COUNTIFS(Absensi!$D61:$ND61,Rekap!H$6,Absensi!$D$2:$ND$2,$M$2)</f>
        <v>0</v>
      </c>
      <c r="I63" s="1">
        <f>COUNTIFS(Absensi!$D61:$ND61,Rekap!I$6,Absensi!$D$2:$ND$2,$M$2)</f>
        <v>0</v>
      </c>
      <c r="J63" s="1">
        <f>COUNTIFS(Absensi!$D61:$ND61,Rekap!J$6,Absensi!$D$2:$ND$2,$M$2)</f>
        <v>0</v>
      </c>
      <c r="K63" s="1"/>
      <c r="L63" s="1"/>
      <c r="M63" s="47">
        <f>IF($M$2="01",SUMIF(Test!$D:$D,Rekap!D63,Test!$AC:$AC),IF($M$2="02",SUMIF(Test!$D:$D,Rekap!D63,Test!$AD:$AD),IF($M$2="03",SUMIF(Test!$D:$D,Rekap!D63,Test!$AE:$AE),IF($M$2="04",SUMIF(Test!$D:$D,Rekap!D63,Test!$AF:$AF),IF($M$2="05",SUMIF(Test!$D:$D,Rekap!D63,Test!$AG:$AG),IF($M$2="06",SUMIF(Test!$D:$D,Rekap!D63,Test!$AH:$AH),IF($M$2="07",SUMIF(Test!$D:$D,Rekap!D63,Test!$AI:$AI),IF($M$2="08",SUMIF(Test!$D:$D,Rekap!D63,Test!$AJ:$AJ),IF($M$2="09",SUMIF(Test!$D:$D,Rekap!D63,Test!$AK:$AK),IF($M$2="10",SUMIF(Test!$D:$D,Rekap!D63,Test!$AL:$AL),IF($M$2="11",SUMIF(Test!$D:$D,Rekap!D63,Test!$AM:$AM),IF($M$2="12",SUMIF(Test!$D:$D,Rekap!D63,Test!$AN:$AN),0))))))))))))</f>
        <v>7</v>
      </c>
    </row>
    <row r="64" spans="1:13" ht="15" customHeight="1" x14ac:dyDescent="0.25">
      <c r="A64" s="26">
        <v>58</v>
      </c>
      <c r="B64" s="27" t="str">
        <f>Absensi!B62</f>
        <v>Gudang C</v>
      </c>
      <c r="C64" s="27" t="str">
        <f>Absensi!C62</f>
        <v>Zainudin Hidayatullah</v>
      </c>
      <c r="D64" s="27" t="str">
        <f t="shared" si="0"/>
        <v>Gudang CZainudin Hidayatullah</v>
      </c>
      <c r="E64" s="1">
        <f>COUNTIFS(Absensi!$D62:$ND62,Rekap!E$6,Absensi!$D$2:$ND$2,$M$2)</f>
        <v>0</v>
      </c>
      <c r="F64" s="1">
        <f>COUNTIFS(Absensi!$D62:$ND62,Rekap!F$6,Absensi!$D$2:$ND$2,$M$2)</f>
        <v>2</v>
      </c>
      <c r="G64" s="1">
        <f>COUNTIFS(Absensi!$D62:$ND62,Rekap!G$6,Absensi!$D$2:$ND$2,$M$2)</f>
        <v>0</v>
      </c>
      <c r="H64" s="1">
        <f>COUNTIFS(Absensi!$D62:$ND62,Rekap!H$6,Absensi!$D$2:$ND$2,$M$2)</f>
        <v>1</v>
      </c>
      <c r="I64" s="1">
        <f>COUNTIFS(Absensi!$D62:$ND62,Rekap!I$6,Absensi!$D$2:$ND$2,$M$2)</f>
        <v>0</v>
      </c>
      <c r="J64" s="1">
        <f>COUNTIFS(Absensi!$D62:$ND62,Rekap!J$6,Absensi!$D$2:$ND$2,$M$2)</f>
        <v>0</v>
      </c>
      <c r="K64" s="1"/>
      <c r="L64" s="1"/>
      <c r="M64" s="47">
        <f>IF($M$2="01",SUMIF(Test!$D:$D,Rekap!D64,Test!$AC:$AC),IF($M$2="02",SUMIF(Test!$D:$D,Rekap!D64,Test!$AD:$AD),IF($M$2="03",SUMIF(Test!$D:$D,Rekap!D64,Test!$AE:$AE),IF($M$2="04",SUMIF(Test!$D:$D,Rekap!D64,Test!$AF:$AF),IF($M$2="05",SUMIF(Test!$D:$D,Rekap!D64,Test!$AG:$AG),IF($M$2="06",SUMIF(Test!$D:$D,Rekap!D64,Test!$AH:$AH),IF($M$2="07",SUMIF(Test!$D:$D,Rekap!D64,Test!$AI:$AI),IF($M$2="08",SUMIF(Test!$D:$D,Rekap!D64,Test!$AJ:$AJ),IF($M$2="09",SUMIF(Test!$D:$D,Rekap!D64,Test!$AK:$AK),IF($M$2="10",SUMIF(Test!$D:$D,Rekap!D64,Test!$AL:$AL),IF($M$2="11",SUMIF(Test!$D:$D,Rekap!D64,Test!$AM:$AM),IF($M$2="12",SUMIF(Test!$D:$D,Rekap!D64,Test!$AN:$AN),0))))))))))))</f>
        <v>6</v>
      </c>
    </row>
    <row r="65" spans="1:13" ht="15" customHeight="1" x14ac:dyDescent="0.25">
      <c r="A65" s="26">
        <v>59</v>
      </c>
      <c r="B65" s="27" t="str">
        <f>Absensi!B63</f>
        <v>Set Up</v>
      </c>
      <c r="C65" s="53" t="str">
        <f>Absensi!C63</f>
        <v>Guntur</v>
      </c>
      <c r="D65" s="27" t="str">
        <f t="shared" si="0"/>
        <v>Set UpGuntur</v>
      </c>
      <c r="E65" s="1">
        <f>COUNTIFS(Absensi!$D63:$ND63,Rekap!E$6,Absensi!$D$2:$ND$2,$M$2)</f>
        <v>0</v>
      </c>
      <c r="F65" s="1">
        <f>COUNTIFS(Absensi!$D63:$ND63,Rekap!F$6,Absensi!$D$2:$ND$2,$M$2)</f>
        <v>0</v>
      </c>
      <c r="G65" s="1">
        <f>COUNTIFS(Absensi!$D63:$ND63,Rekap!G$6,Absensi!$D$2:$ND$2,$M$2)</f>
        <v>0</v>
      </c>
      <c r="H65" s="1">
        <f>COUNTIFS(Absensi!$D63:$ND63,Rekap!H$6,Absensi!$D$2:$ND$2,$M$2)</f>
        <v>0</v>
      </c>
      <c r="I65" s="1">
        <f>COUNTIFS(Absensi!$D63:$ND63,Rekap!I$6,Absensi!$D$2:$ND$2,$M$2)</f>
        <v>0</v>
      </c>
      <c r="J65" s="1">
        <f>COUNTIFS(Absensi!$D63:$ND63,Rekap!J$6,Absensi!$D$2:$ND$2,$M$2)</f>
        <v>0</v>
      </c>
      <c r="K65" s="1"/>
      <c r="L65" s="1"/>
      <c r="M65" s="47">
        <f>IF($M$2="01",SUMIF(Test!$D:$D,Rekap!D65,Test!$AC:$AC),IF($M$2="02",SUMIF(Test!$D:$D,Rekap!D65,Test!$AD:$AD),IF($M$2="03",SUMIF(Test!$D:$D,Rekap!D65,Test!$AE:$AE),IF($M$2="04",SUMIF(Test!$D:$D,Rekap!D65,Test!$AF:$AF),IF($M$2="05",SUMIF(Test!$D:$D,Rekap!D65,Test!$AG:$AG),IF($M$2="06",SUMIF(Test!$D:$D,Rekap!D65,Test!$AH:$AH),IF($M$2="07",SUMIF(Test!$D:$D,Rekap!D65,Test!$AI:$AI),IF($M$2="08",SUMIF(Test!$D:$D,Rekap!D65,Test!$AJ:$AJ),IF($M$2="09",SUMIF(Test!$D:$D,Rekap!D65,Test!$AK:$AK),IF($M$2="10",SUMIF(Test!$D:$D,Rekap!D65,Test!$AL:$AL),IF($M$2="11",SUMIF(Test!$D:$D,Rekap!D65,Test!$AM:$AM),IF($M$2="12",SUMIF(Test!$D:$D,Rekap!D65,Test!$AN:$AN),0))))))))))))</f>
        <v>12</v>
      </c>
    </row>
    <row r="66" spans="1:13" ht="15" customHeight="1" x14ac:dyDescent="0.25">
      <c r="A66" s="26">
        <v>60</v>
      </c>
      <c r="B66" s="27" t="str">
        <f>Absensi!B64</f>
        <v>Set Up</v>
      </c>
      <c r="C66" s="27" t="str">
        <f>Absensi!C64</f>
        <v>Julian Akbar</v>
      </c>
      <c r="D66" s="27" t="str">
        <f t="shared" si="0"/>
        <v>Set UpJulian Akbar</v>
      </c>
      <c r="E66" s="1">
        <f>COUNTIFS(Absensi!$D64:$ND64,Rekap!E$6,Absensi!$D$2:$ND$2,$M$2)</f>
        <v>0</v>
      </c>
      <c r="F66" s="1">
        <f>COUNTIFS(Absensi!$D64:$ND64,Rekap!F$6,Absensi!$D$2:$ND$2,$M$2)</f>
        <v>0</v>
      </c>
      <c r="G66" s="1">
        <f>COUNTIFS(Absensi!$D64:$ND64,Rekap!G$6,Absensi!$D$2:$ND$2,$M$2)</f>
        <v>0</v>
      </c>
      <c r="H66" s="1">
        <f>COUNTIFS(Absensi!$D64:$ND64,Rekap!H$6,Absensi!$D$2:$ND$2,$M$2)</f>
        <v>0</v>
      </c>
      <c r="I66" s="1">
        <f>COUNTIFS(Absensi!$D64:$ND64,Rekap!I$6,Absensi!$D$2:$ND$2,$M$2)</f>
        <v>0</v>
      </c>
      <c r="J66" s="1">
        <f>COUNTIFS(Absensi!$D64:$ND64,Rekap!J$6,Absensi!$D$2:$ND$2,$M$2)</f>
        <v>0</v>
      </c>
      <c r="K66" s="1"/>
      <c r="L66" s="1"/>
      <c r="M66" s="47">
        <f>IF($M$2="01",SUMIF(Test!$D:$D,Rekap!D66,Test!$AC:$AC),IF($M$2="02",SUMIF(Test!$D:$D,Rekap!D66,Test!$AD:$AD),IF($M$2="03",SUMIF(Test!$D:$D,Rekap!D66,Test!$AE:$AE),IF($M$2="04",SUMIF(Test!$D:$D,Rekap!D66,Test!$AF:$AF),IF($M$2="05",SUMIF(Test!$D:$D,Rekap!D66,Test!$AG:$AG),IF($M$2="06",SUMIF(Test!$D:$D,Rekap!D66,Test!$AH:$AH),IF($M$2="07",SUMIF(Test!$D:$D,Rekap!D66,Test!$AI:$AI),IF($M$2="08",SUMIF(Test!$D:$D,Rekap!D66,Test!$AJ:$AJ),IF($M$2="09",SUMIF(Test!$D:$D,Rekap!D66,Test!$AK:$AK),IF($M$2="10",SUMIF(Test!$D:$D,Rekap!D66,Test!$AL:$AL),IF($M$2="11",SUMIF(Test!$D:$D,Rekap!D66,Test!$AM:$AM),IF($M$2="12",SUMIF(Test!$D:$D,Rekap!D66,Test!$AN:$AN),0))))))))))))</f>
        <v>-5</v>
      </c>
    </row>
    <row r="67" spans="1:13" ht="15" customHeight="1" x14ac:dyDescent="0.25">
      <c r="A67" s="26">
        <v>61</v>
      </c>
      <c r="B67" s="27" t="str">
        <f>Absensi!B65</f>
        <v>Set Up</v>
      </c>
      <c r="C67" s="53" t="str">
        <f>Absensi!C65</f>
        <v>Daud</v>
      </c>
      <c r="D67" s="27" t="str">
        <f t="shared" si="0"/>
        <v>Set UpDaud</v>
      </c>
      <c r="E67" s="1">
        <f>COUNTIFS(Absensi!$D65:$ND65,Rekap!E$6,Absensi!$D$2:$ND$2,$M$2)</f>
        <v>0</v>
      </c>
      <c r="F67" s="1">
        <f>COUNTIFS(Absensi!$D65:$ND65,Rekap!F$6,Absensi!$D$2:$ND$2,$M$2)</f>
        <v>0</v>
      </c>
      <c r="G67" s="1">
        <f>COUNTIFS(Absensi!$D65:$ND65,Rekap!G$6,Absensi!$D$2:$ND$2,$M$2)</f>
        <v>0</v>
      </c>
      <c r="H67" s="1">
        <f>COUNTIFS(Absensi!$D65:$ND65,Rekap!H$6,Absensi!$D$2:$ND$2,$M$2)</f>
        <v>0</v>
      </c>
      <c r="I67" s="1">
        <f>COUNTIFS(Absensi!$D65:$ND65,Rekap!I$6,Absensi!$D$2:$ND$2,$M$2)</f>
        <v>0</v>
      </c>
      <c r="J67" s="1">
        <f>COUNTIFS(Absensi!$D65:$ND65,Rekap!J$6,Absensi!$D$2:$ND$2,$M$2)</f>
        <v>0</v>
      </c>
      <c r="K67" s="1"/>
      <c r="L67" s="1"/>
      <c r="M67" s="47">
        <f>IF($M$2="01",SUMIF(Test!$D:$D,Rekap!D67,Test!$AC:$AC),IF($M$2="02",SUMIF(Test!$D:$D,Rekap!D67,Test!$AD:$AD),IF($M$2="03",SUMIF(Test!$D:$D,Rekap!D67,Test!$AE:$AE),IF($M$2="04",SUMIF(Test!$D:$D,Rekap!D67,Test!$AF:$AF),IF($M$2="05",SUMIF(Test!$D:$D,Rekap!D67,Test!$AG:$AG),IF($M$2="06",SUMIF(Test!$D:$D,Rekap!D67,Test!$AH:$AH),IF($M$2="07",SUMIF(Test!$D:$D,Rekap!D67,Test!$AI:$AI),IF($M$2="08",SUMIF(Test!$D:$D,Rekap!D67,Test!$AJ:$AJ),IF($M$2="09",SUMIF(Test!$D:$D,Rekap!D67,Test!$AK:$AK),IF($M$2="10",SUMIF(Test!$D:$D,Rekap!D67,Test!$AL:$AL),IF($M$2="11",SUMIF(Test!$D:$D,Rekap!D67,Test!$AM:$AM),IF($M$2="12",SUMIF(Test!$D:$D,Rekap!D67,Test!$AN:$AN),0))))))))))))</f>
        <v>9</v>
      </c>
    </row>
    <row r="68" spans="1:13" ht="15" customHeight="1" x14ac:dyDescent="0.25">
      <c r="A68" s="26">
        <v>62</v>
      </c>
      <c r="B68" s="27" t="str">
        <f>Absensi!B66</f>
        <v>Set Up</v>
      </c>
      <c r="C68" s="27" t="str">
        <f>Absensi!C66</f>
        <v>nabila wardah saadah</v>
      </c>
      <c r="D68" s="27" t="str">
        <f t="shared" si="0"/>
        <v>Set Upnabila wardah saadah</v>
      </c>
      <c r="E68" s="1">
        <f>COUNTIFS(Absensi!$D66:$ND66,Rekap!E$6,Absensi!$D$2:$ND$2,$M$2)</f>
        <v>0</v>
      </c>
      <c r="F68" s="1">
        <f>COUNTIFS(Absensi!$D66:$ND66,Rekap!F$6,Absensi!$D$2:$ND$2,$M$2)</f>
        <v>1</v>
      </c>
      <c r="G68" s="1">
        <f>COUNTIFS(Absensi!$D66:$ND66,Rekap!G$6,Absensi!$D$2:$ND$2,$M$2)</f>
        <v>0</v>
      </c>
      <c r="H68" s="1">
        <f>COUNTIFS(Absensi!$D66:$ND66,Rekap!H$6,Absensi!$D$2:$ND$2,$M$2)</f>
        <v>0</v>
      </c>
      <c r="I68" s="1">
        <f>COUNTIFS(Absensi!$D66:$ND66,Rekap!I$6,Absensi!$D$2:$ND$2,$M$2)</f>
        <v>0</v>
      </c>
      <c r="J68" s="1">
        <f>COUNTIFS(Absensi!$D66:$ND66,Rekap!J$6,Absensi!$D$2:$ND$2,$M$2)</f>
        <v>0</v>
      </c>
      <c r="K68" s="1"/>
      <c r="L68" s="1"/>
      <c r="M68" s="47">
        <f>IF($M$2="01",SUMIF(Test!$D:$D,Rekap!D68,Test!$AC:$AC),IF($M$2="02",SUMIF(Test!$D:$D,Rekap!D68,Test!$AD:$AD),IF($M$2="03",SUMIF(Test!$D:$D,Rekap!D68,Test!$AE:$AE),IF($M$2="04",SUMIF(Test!$D:$D,Rekap!D68,Test!$AF:$AF),IF($M$2="05",SUMIF(Test!$D:$D,Rekap!D68,Test!$AG:$AG),IF($M$2="06",SUMIF(Test!$D:$D,Rekap!D68,Test!$AH:$AH),IF($M$2="07",SUMIF(Test!$D:$D,Rekap!D68,Test!$AI:$AI),IF($M$2="08",SUMIF(Test!$D:$D,Rekap!D68,Test!$AJ:$AJ),IF($M$2="09",SUMIF(Test!$D:$D,Rekap!D68,Test!$AK:$AK),IF($M$2="10",SUMIF(Test!$D:$D,Rekap!D68,Test!$AL:$AL),IF($M$2="11",SUMIF(Test!$D:$D,Rekap!D68,Test!$AM:$AM),IF($M$2="12",SUMIF(Test!$D:$D,Rekap!D68,Test!$AN:$AN),0))))))))))))</f>
        <v>3.5</v>
      </c>
    </row>
    <row r="69" spans="1:13" ht="15" customHeight="1" x14ac:dyDescent="0.25">
      <c r="A69" s="26">
        <v>63</v>
      </c>
      <c r="B69" s="27" t="str">
        <f>Absensi!B67</f>
        <v>Set Up</v>
      </c>
      <c r="C69" s="27" t="str">
        <f>Absensi!C67</f>
        <v>soleh</v>
      </c>
      <c r="D69" s="27" t="str">
        <f t="shared" si="0"/>
        <v>Set Upsoleh</v>
      </c>
      <c r="E69" s="1">
        <f>COUNTIFS(Absensi!$D67:$ND67,Rekap!E$6,Absensi!$D$2:$ND$2,$M$2)</f>
        <v>0</v>
      </c>
      <c r="F69" s="1">
        <f>COUNTIFS(Absensi!$D67:$ND67,Rekap!F$6,Absensi!$D$2:$ND$2,$M$2)</f>
        <v>0</v>
      </c>
      <c r="G69" s="1">
        <f>COUNTIFS(Absensi!$D67:$ND67,Rekap!G$6,Absensi!$D$2:$ND$2,$M$2)</f>
        <v>0</v>
      </c>
      <c r="H69" s="1">
        <f>COUNTIFS(Absensi!$D67:$ND67,Rekap!H$6,Absensi!$D$2:$ND$2,$M$2)</f>
        <v>0</v>
      </c>
      <c r="I69" s="1">
        <f>COUNTIFS(Absensi!$D67:$ND67,Rekap!I$6,Absensi!$D$2:$ND$2,$M$2)</f>
        <v>0</v>
      </c>
      <c r="J69" s="1">
        <f>COUNTIFS(Absensi!$D67:$ND67,Rekap!J$6,Absensi!$D$2:$ND$2,$M$2)</f>
        <v>0</v>
      </c>
      <c r="K69" s="1"/>
      <c r="L69" s="1"/>
      <c r="M69" s="47">
        <f>IF($M$2="01",SUMIF(Test!$D:$D,Rekap!D69,Test!$AC:$AC),IF($M$2="02",SUMIF(Test!$D:$D,Rekap!D69,Test!$AD:$AD),IF($M$2="03",SUMIF(Test!$D:$D,Rekap!D69,Test!$AE:$AE),IF($M$2="04",SUMIF(Test!$D:$D,Rekap!D69,Test!$AF:$AF),IF($M$2="05",SUMIF(Test!$D:$D,Rekap!D69,Test!$AG:$AG),IF($M$2="06",SUMIF(Test!$D:$D,Rekap!D69,Test!$AH:$AH),IF($M$2="07",SUMIF(Test!$D:$D,Rekap!D69,Test!$AI:$AI),IF($M$2="08",SUMIF(Test!$D:$D,Rekap!D69,Test!$AJ:$AJ),IF($M$2="09",SUMIF(Test!$D:$D,Rekap!D69,Test!$AK:$AK),IF($M$2="10",SUMIF(Test!$D:$D,Rekap!D69,Test!$AL:$AL),IF($M$2="11",SUMIF(Test!$D:$D,Rekap!D69,Test!$AM:$AM),IF($M$2="12",SUMIF(Test!$D:$D,Rekap!D69,Test!$AN:$AN),0))))))))))))</f>
        <v>-5</v>
      </c>
    </row>
    <row r="70" spans="1:13" ht="15" customHeight="1" x14ac:dyDescent="0.25">
      <c r="A70" s="26">
        <v>64</v>
      </c>
      <c r="B70" s="27" t="str">
        <f>Absensi!B68</f>
        <v>Set Up</v>
      </c>
      <c r="C70" s="27" t="str">
        <f>Absensi!C68</f>
        <v>diki</v>
      </c>
      <c r="D70" s="27" t="str">
        <f t="shared" si="0"/>
        <v>Set Updiki</v>
      </c>
      <c r="E70" s="1">
        <f>COUNTIFS(Absensi!$D68:$ND68,Rekap!E$6,Absensi!$D$2:$ND$2,$M$2)</f>
        <v>0</v>
      </c>
      <c r="F70" s="1">
        <f>COUNTIFS(Absensi!$D68:$ND68,Rekap!F$6,Absensi!$D$2:$ND$2,$M$2)</f>
        <v>0</v>
      </c>
      <c r="G70" s="1">
        <f>COUNTIFS(Absensi!$D68:$ND68,Rekap!G$6,Absensi!$D$2:$ND$2,$M$2)</f>
        <v>0</v>
      </c>
      <c r="H70" s="1">
        <f>COUNTIFS(Absensi!$D68:$ND68,Rekap!H$6,Absensi!$D$2:$ND$2,$M$2)</f>
        <v>3</v>
      </c>
      <c r="I70" s="1">
        <f>COUNTIFS(Absensi!$D68:$ND68,Rekap!I$6,Absensi!$D$2:$ND$2,$M$2)</f>
        <v>0</v>
      </c>
      <c r="J70" s="1">
        <f>COUNTIFS(Absensi!$D68:$ND68,Rekap!J$6,Absensi!$D$2:$ND$2,$M$2)</f>
        <v>0</v>
      </c>
      <c r="K70" s="1"/>
      <c r="L70" s="1"/>
      <c r="M70" s="47">
        <f>IF($M$2="01",SUMIF(Test!$D:$D,Rekap!D70,Test!$AC:$AC),IF($M$2="02",SUMIF(Test!$D:$D,Rekap!D70,Test!$AD:$AD),IF($M$2="03",SUMIF(Test!$D:$D,Rekap!D70,Test!$AE:$AE),IF($M$2="04",SUMIF(Test!$D:$D,Rekap!D70,Test!$AF:$AF),IF($M$2="05",SUMIF(Test!$D:$D,Rekap!D70,Test!$AG:$AG),IF($M$2="06",SUMIF(Test!$D:$D,Rekap!D70,Test!$AH:$AH),IF($M$2="07",SUMIF(Test!$D:$D,Rekap!D70,Test!$AI:$AI),IF($M$2="08",SUMIF(Test!$D:$D,Rekap!D70,Test!$AJ:$AJ),IF($M$2="09",SUMIF(Test!$D:$D,Rekap!D70,Test!$AK:$AK),IF($M$2="10",SUMIF(Test!$D:$D,Rekap!D70,Test!$AL:$AL),IF($M$2="11",SUMIF(Test!$D:$D,Rekap!D70,Test!$AM:$AM),IF($M$2="12",SUMIF(Test!$D:$D,Rekap!D70,Test!$AN:$AN),0))))))))))))</f>
        <v>-2</v>
      </c>
    </row>
    <row r="71" spans="1:13" ht="15" customHeight="1" x14ac:dyDescent="0.25">
      <c r="A71" s="26">
        <v>65</v>
      </c>
      <c r="B71" s="27" t="str">
        <f>Absensi!B69</f>
        <v>Set Up</v>
      </c>
      <c r="C71" s="27" t="str">
        <f>Absensi!C69</f>
        <v>Khaeril Haq</v>
      </c>
      <c r="D71" s="27" t="str">
        <f t="shared" si="0"/>
        <v>Set UpKhaeril Haq</v>
      </c>
      <c r="E71" s="1">
        <f>COUNTIFS(Absensi!$D69:$ND69,Rekap!E$6,Absensi!$D$2:$ND$2,$M$2)</f>
        <v>0</v>
      </c>
      <c r="F71" s="1">
        <f>COUNTIFS(Absensi!$D69:$ND69,Rekap!F$6,Absensi!$D$2:$ND$2,$M$2)</f>
        <v>0</v>
      </c>
      <c r="G71" s="1">
        <f>COUNTIFS(Absensi!$D69:$ND69,Rekap!G$6,Absensi!$D$2:$ND$2,$M$2)</f>
        <v>0</v>
      </c>
      <c r="H71" s="1">
        <f>COUNTIFS(Absensi!$D69:$ND69,Rekap!H$6,Absensi!$D$2:$ND$2,$M$2)</f>
        <v>0</v>
      </c>
      <c r="I71" s="1">
        <f>COUNTIFS(Absensi!$D69:$ND69,Rekap!I$6,Absensi!$D$2:$ND$2,$M$2)</f>
        <v>0</v>
      </c>
      <c r="J71" s="1">
        <f>COUNTIFS(Absensi!$D69:$ND69,Rekap!J$6,Absensi!$D$2:$ND$2,$M$2)</f>
        <v>0</v>
      </c>
      <c r="K71" s="1"/>
      <c r="L71" s="1"/>
      <c r="M71" s="47">
        <f>IF($M$2="01",SUMIF(Test!$D:$D,Rekap!D71,Test!$AC:$AC),IF($M$2="02",SUMIF(Test!$D:$D,Rekap!D71,Test!$AD:$AD),IF($M$2="03",SUMIF(Test!$D:$D,Rekap!D71,Test!$AE:$AE),IF($M$2="04",SUMIF(Test!$D:$D,Rekap!D71,Test!$AF:$AF),IF($M$2="05",SUMIF(Test!$D:$D,Rekap!D71,Test!$AG:$AG),IF($M$2="06",SUMIF(Test!$D:$D,Rekap!D71,Test!$AH:$AH),IF($M$2="07",SUMIF(Test!$D:$D,Rekap!D71,Test!$AI:$AI),IF($M$2="08",SUMIF(Test!$D:$D,Rekap!D71,Test!$AJ:$AJ),IF($M$2="09",SUMIF(Test!$D:$D,Rekap!D71,Test!$AK:$AK),IF($M$2="10",SUMIF(Test!$D:$D,Rekap!D71,Test!$AL:$AL),IF($M$2="11",SUMIF(Test!$D:$D,Rekap!D71,Test!$AM:$AM),IF($M$2="12",SUMIF(Test!$D:$D,Rekap!D71,Test!$AN:$AN),0))))))))))))</f>
        <v>4</v>
      </c>
    </row>
    <row r="72" spans="1:13" ht="15" customHeight="1" x14ac:dyDescent="0.25">
      <c r="A72" s="26">
        <v>66</v>
      </c>
      <c r="B72" s="27" t="str">
        <f>Absensi!B70</f>
        <v>Set Up</v>
      </c>
      <c r="C72" s="53" t="str">
        <f>Absensi!C70</f>
        <v>vincentius deddy</v>
      </c>
      <c r="D72" s="27" t="str">
        <f t="shared" ref="D72:D135" si="1">B72&amp;C72</f>
        <v>Set Upvincentius deddy</v>
      </c>
      <c r="E72" s="1">
        <f>COUNTIFS(Absensi!$D70:$ND70,Rekap!E$6,Absensi!$D$2:$ND$2,$M$2)</f>
        <v>0</v>
      </c>
      <c r="F72" s="1">
        <f>COUNTIFS(Absensi!$D70:$ND70,Rekap!F$6,Absensi!$D$2:$ND$2,$M$2)</f>
        <v>0</v>
      </c>
      <c r="G72" s="1">
        <f>COUNTIFS(Absensi!$D70:$ND70,Rekap!G$6,Absensi!$D$2:$ND$2,$M$2)</f>
        <v>0</v>
      </c>
      <c r="H72" s="1">
        <f>COUNTIFS(Absensi!$D70:$ND70,Rekap!H$6,Absensi!$D$2:$ND$2,$M$2)</f>
        <v>0</v>
      </c>
      <c r="I72" s="1">
        <f>COUNTIFS(Absensi!$D70:$ND70,Rekap!I$6,Absensi!$D$2:$ND$2,$M$2)</f>
        <v>0</v>
      </c>
      <c r="J72" s="1">
        <f>COUNTIFS(Absensi!$D70:$ND70,Rekap!J$6,Absensi!$D$2:$ND$2,$M$2)</f>
        <v>0</v>
      </c>
      <c r="K72" s="1"/>
      <c r="L72" s="1"/>
      <c r="M72" s="47">
        <f>IF($M$2="01",SUMIF(Test!$D:$D,Rekap!D72,Test!$AC:$AC),IF($M$2="02",SUMIF(Test!$D:$D,Rekap!D72,Test!$AD:$AD),IF($M$2="03",SUMIF(Test!$D:$D,Rekap!D72,Test!$AE:$AE),IF($M$2="04",SUMIF(Test!$D:$D,Rekap!D72,Test!$AF:$AF),IF($M$2="05",SUMIF(Test!$D:$D,Rekap!D72,Test!$AG:$AG),IF($M$2="06",SUMIF(Test!$D:$D,Rekap!D72,Test!$AH:$AH),IF($M$2="07",SUMIF(Test!$D:$D,Rekap!D72,Test!$AI:$AI),IF($M$2="08",SUMIF(Test!$D:$D,Rekap!D72,Test!$AJ:$AJ),IF($M$2="09",SUMIF(Test!$D:$D,Rekap!D72,Test!$AK:$AK),IF($M$2="10",SUMIF(Test!$D:$D,Rekap!D72,Test!$AL:$AL),IF($M$2="11",SUMIF(Test!$D:$D,Rekap!D72,Test!$AM:$AM),IF($M$2="12",SUMIF(Test!$D:$D,Rekap!D72,Test!$AN:$AN),0))))))))))))</f>
        <v>12</v>
      </c>
    </row>
    <row r="73" spans="1:13" ht="15" customHeight="1" x14ac:dyDescent="0.25">
      <c r="A73" s="26">
        <v>67</v>
      </c>
      <c r="B73" s="27" t="str">
        <f>Absensi!B71</f>
        <v>Set Up</v>
      </c>
      <c r="C73" s="27" t="str">
        <f>Absensi!C71</f>
        <v>kurniawan</v>
      </c>
      <c r="D73" s="27" t="str">
        <f t="shared" si="1"/>
        <v>Set Upkurniawan</v>
      </c>
      <c r="E73" s="1">
        <f>COUNTIFS(Absensi!$D71:$ND71,Rekap!E$6,Absensi!$D$2:$ND$2,$M$2)</f>
        <v>0</v>
      </c>
      <c r="F73" s="1">
        <f>COUNTIFS(Absensi!$D71:$ND71,Rekap!F$6,Absensi!$D$2:$ND$2,$M$2)</f>
        <v>0</v>
      </c>
      <c r="G73" s="1">
        <f>COUNTIFS(Absensi!$D71:$ND71,Rekap!G$6,Absensi!$D$2:$ND$2,$M$2)</f>
        <v>0</v>
      </c>
      <c r="H73" s="1">
        <f>COUNTIFS(Absensi!$D71:$ND71,Rekap!H$6,Absensi!$D$2:$ND$2,$M$2)</f>
        <v>0</v>
      </c>
      <c r="I73" s="1">
        <f>COUNTIFS(Absensi!$D71:$ND71,Rekap!I$6,Absensi!$D$2:$ND$2,$M$2)</f>
        <v>0</v>
      </c>
      <c r="J73" s="1">
        <f>COUNTIFS(Absensi!$D71:$ND71,Rekap!J$6,Absensi!$D$2:$ND$2,$M$2)</f>
        <v>0</v>
      </c>
      <c r="K73" s="1"/>
      <c r="L73" s="1"/>
      <c r="M73" s="47">
        <f>IF($M$2="01",SUMIF(Test!$D:$D,Rekap!D73,Test!$AC:$AC),IF($M$2="02",SUMIF(Test!$D:$D,Rekap!D73,Test!$AD:$AD),IF($M$2="03",SUMIF(Test!$D:$D,Rekap!D73,Test!$AE:$AE),IF($M$2="04",SUMIF(Test!$D:$D,Rekap!D73,Test!$AF:$AF),IF($M$2="05",SUMIF(Test!$D:$D,Rekap!D73,Test!$AG:$AG),IF($M$2="06",SUMIF(Test!$D:$D,Rekap!D73,Test!$AH:$AH),IF($M$2="07",SUMIF(Test!$D:$D,Rekap!D73,Test!$AI:$AI),IF($M$2="08",SUMIF(Test!$D:$D,Rekap!D73,Test!$AJ:$AJ),IF($M$2="09",SUMIF(Test!$D:$D,Rekap!D73,Test!$AK:$AK),IF($M$2="10",SUMIF(Test!$D:$D,Rekap!D73,Test!$AL:$AL),IF($M$2="11",SUMIF(Test!$D:$D,Rekap!D73,Test!$AM:$AM),IF($M$2="12",SUMIF(Test!$D:$D,Rekap!D73,Test!$AN:$AN),0))))))))))))</f>
        <v>5</v>
      </c>
    </row>
    <row r="74" spans="1:13" ht="15" customHeight="1" x14ac:dyDescent="0.25">
      <c r="A74" s="26">
        <v>68</v>
      </c>
      <c r="B74" s="27" t="str">
        <f>Absensi!B72</f>
        <v>Set Up</v>
      </c>
      <c r="C74" s="27" t="str">
        <f>Absensi!C72</f>
        <v>Sugi</v>
      </c>
      <c r="D74" s="27" t="str">
        <f t="shared" si="1"/>
        <v>Set UpSugi</v>
      </c>
      <c r="E74" s="1">
        <f>COUNTIFS(Absensi!$D72:$ND72,Rekap!E$6,Absensi!$D$2:$ND$2,$M$2)</f>
        <v>0</v>
      </c>
      <c r="F74" s="1">
        <f>COUNTIFS(Absensi!$D72:$ND72,Rekap!F$6,Absensi!$D$2:$ND$2,$M$2)</f>
        <v>2</v>
      </c>
      <c r="G74" s="1">
        <f>COUNTIFS(Absensi!$D72:$ND72,Rekap!G$6,Absensi!$D$2:$ND$2,$M$2)</f>
        <v>0</v>
      </c>
      <c r="H74" s="1">
        <f>COUNTIFS(Absensi!$D72:$ND72,Rekap!H$6,Absensi!$D$2:$ND$2,$M$2)</f>
        <v>0</v>
      </c>
      <c r="I74" s="1">
        <f>COUNTIFS(Absensi!$D72:$ND72,Rekap!I$6,Absensi!$D$2:$ND$2,$M$2)</f>
        <v>0</v>
      </c>
      <c r="J74" s="1">
        <f>COUNTIFS(Absensi!$D72:$ND72,Rekap!J$6,Absensi!$D$2:$ND$2,$M$2)</f>
        <v>0</v>
      </c>
      <c r="K74" s="1"/>
      <c r="L74" s="1"/>
      <c r="M74" s="47">
        <f>IF($M$2="01",SUMIF(Test!$D:$D,Rekap!D74,Test!$AC:$AC),IF($M$2="02",SUMIF(Test!$D:$D,Rekap!D74,Test!$AD:$AD),IF($M$2="03",SUMIF(Test!$D:$D,Rekap!D74,Test!$AE:$AE),IF($M$2="04",SUMIF(Test!$D:$D,Rekap!D74,Test!$AF:$AF),IF($M$2="05",SUMIF(Test!$D:$D,Rekap!D74,Test!$AG:$AG),IF($M$2="06",SUMIF(Test!$D:$D,Rekap!D74,Test!$AH:$AH),IF($M$2="07",SUMIF(Test!$D:$D,Rekap!D74,Test!$AI:$AI),IF($M$2="08",SUMIF(Test!$D:$D,Rekap!D74,Test!$AJ:$AJ),IF($M$2="09",SUMIF(Test!$D:$D,Rekap!D74,Test!$AK:$AK),IF($M$2="10",SUMIF(Test!$D:$D,Rekap!D74,Test!$AL:$AL),IF($M$2="11",SUMIF(Test!$D:$D,Rekap!D74,Test!$AM:$AM),IF($M$2="12",SUMIF(Test!$D:$D,Rekap!D74,Test!$AN:$AN),0))))))))))))</f>
        <v>-2</v>
      </c>
    </row>
    <row r="75" spans="1:13" ht="15" customHeight="1" x14ac:dyDescent="0.25">
      <c r="A75" s="26">
        <v>69</v>
      </c>
      <c r="B75" s="27" t="str">
        <f>Absensi!B73</f>
        <v>Set Up</v>
      </c>
      <c r="C75" s="53" t="str">
        <f>Absensi!C73</f>
        <v>alfandi</v>
      </c>
      <c r="D75" s="27" t="str">
        <f t="shared" si="1"/>
        <v>Set Upalfandi</v>
      </c>
      <c r="E75" s="1">
        <f>COUNTIFS(Absensi!$D73:$ND73,Rekap!E$6,Absensi!$D$2:$ND$2,$M$2)</f>
        <v>0</v>
      </c>
      <c r="F75" s="1">
        <f>COUNTIFS(Absensi!$D73:$ND73,Rekap!F$6,Absensi!$D$2:$ND$2,$M$2)</f>
        <v>0</v>
      </c>
      <c r="G75" s="1">
        <f>COUNTIFS(Absensi!$D73:$ND73,Rekap!G$6,Absensi!$D$2:$ND$2,$M$2)</f>
        <v>0</v>
      </c>
      <c r="H75" s="1">
        <f>COUNTIFS(Absensi!$D73:$ND73,Rekap!H$6,Absensi!$D$2:$ND$2,$M$2)</f>
        <v>0</v>
      </c>
      <c r="I75" s="1">
        <f>COUNTIFS(Absensi!$D73:$ND73,Rekap!I$6,Absensi!$D$2:$ND$2,$M$2)</f>
        <v>0</v>
      </c>
      <c r="J75" s="1">
        <f>COUNTIFS(Absensi!$D73:$ND73,Rekap!J$6,Absensi!$D$2:$ND$2,$M$2)</f>
        <v>0</v>
      </c>
      <c r="K75" s="1"/>
      <c r="L75" s="1"/>
      <c r="M75" s="47">
        <f>IF($M$2="01",SUMIF(Test!$D:$D,Rekap!D75,Test!$AC:$AC),IF($M$2="02",SUMIF(Test!$D:$D,Rekap!D75,Test!$AD:$AD),IF($M$2="03",SUMIF(Test!$D:$D,Rekap!D75,Test!$AE:$AE),IF($M$2="04",SUMIF(Test!$D:$D,Rekap!D75,Test!$AF:$AF),IF($M$2="05",SUMIF(Test!$D:$D,Rekap!D75,Test!$AG:$AG),IF($M$2="06",SUMIF(Test!$D:$D,Rekap!D75,Test!$AH:$AH),IF($M$2="07",SUMIF(Test!$D:$D,Rekap!D75,Test!$AI:$AI),IF($M$2="08",SUMIF(Test!$D:$D,Rekap!D75,Test!$AJ:$AJ),IF($M$2="09",SUMIF(Test!$D:$D,Rekap!D75,Test!$AK:$AK),IF($M$2="10",SUMIF(Test!$D:$D,Rekap!D75,Test!$AL:$AL),IF($M$2="11",SUMIF(Test!$D:$D,Rekap!D75,Test!$AM:$AM),IF($M$2="12",SUMIF(Test!$D:$D,Rekap!D75,Test!$AN:$AN),0))))))))))))</f>
        <v>12</v>
      </c>
    </row>
    <row r="76" spans="1:13" ht="15" customHeight="1" x14ac:dyDescent="0.25">
      <c r="A76" s="26">
        <v>70</v>
      </c>
      <c r="B76" s="27" t="str">
        <f>Absensi!B74</f>
        <v>Set Up</v>
      </c>
      <c r="C76" s="53" t="str">
        <f>Absensi!C74</f>
        <v>ayuning</v>
      </c>
      <c r="D76" s="27" t="str">
        <f t="shared" si="1"/>
        <v>Set Upayuning</v>
      </c>
      <c r="E76" s="1">
        <f>COUNTIFS(Absensi!$D74:$ND74,Rekap!E$6,Absensi!$D$2:$ND$2,$M$2)</f>
        <v>0</v>
      </c>
      <c r="F76" s="1">
        <f>COUNTIFS(Absensi!$D74:$ND74,Rekap!F$6,Absensi!$D$2:$ND$2,$M$2)</f>
        <v>0</v>
      </c>
      <c r="G76" s="1">
        <f>COUNTIFS(Absensi!$D74:$ND74,Rekap!G$6,Absensi!$D$2:$ND$2,$M$2)</f>
        <v>0</v>
      </c>
      <c r="H76" s="1">
        <f>COUNTIFS(Absensi!$D74:$ND74,Rekap!H$6,Absensi!$D$2:$ND$2,$M$2)</f>
        <v>0</v>
      </c>
      <c r="I76" s="1">
        <f>COUNTIFS(Absensi!$D74:$ND74,Rekap!I$6,Absensi!$D$2:$ND$2,$M$2)</f>
        <v>0</v>
      </c>
      <c r="J76" s="1">
        <f>COUNTIFS(Absensi!$D74:$ND74,Rekap!J$6,Absensi!$D$2:$ND$2,$M$2)</f>
        <v>0</v>
      </c>
      <c r="K76" s="1"/>
      <c r="L76" s="1"/>
      <c r="M76" s="47">
        <f>IF($M$2="01",SUMIF(Test!$D:$D,Rekap!D76,Test!$AC:$AC),IF($M$2="02",SUMIF(Test!$D:$D,Rekap!D76,Test!$AD:$AD),IF($M$2="03",SUMIF(Test!$D:$D,Rekap!D76,Test!$AE:$AE),IF($M$2="04",SUMIF(Test!$D:$D,Rekap!D76,Test!$AF:$AF),IF($M$2="05",SUMIF(Test!$D:$D,Rekap!D76,Test!$AG:$AG),IF($M$2="06",SUMIF(Test!$D:$D,Rekap!D76,Test!$AH:$AH),IF($M$2="07",SUMIF(Test!$D:$D,Rekap!D76,Test!$AI:$AI),IF($M$2="08",SUMIF(Test!$D:$D,Rekap!D76,Test!$AJ:$AJ),IF($M$2="09",SUMIF(Test!$D:$D,Rekap!D76,Test!$AK:$AK),IF($M$2="10",SUMIF(Test!$D:$D,Rekap!D76,Test!$AL:$AL),IF($M$2="11",SUMIF(Test!$D:$D,Rekap!D76,Test!$AM:$AM),IF($M$2="12",SUMIF(Test!$D:$D,Rekap!D76,Test!$AN:$AN),0))))))))))))</f>
        <v>12</v>
      </c>
    </row>
    <row r="77" spans="1:13" ht="15" customHeight="1" x14ac:dyDescent="0.25">
      <c r="A77" s="26">
        <v>71</v>
      </c>
      <c r="B77" s="27" t="str">
        <f>Absensi!B75</f>
        <v>Set Up</v>
      </c>
      <c r="C77" s="27" t="str">
        <f>Absensi!C75</f>
        <v>Egi</v>
      </c>
      <c r="D77" s="27" t="str">
        <f t="shared" si="1"/>
        <v>Set UpEgi</v>
      </c>
      <c r="E77" s="1">
        <f>COUNTIFS(Absensi!$D75:$ND75,Rekap!E$6,Absensi!$D$2:$ND$2,$M$2)</f>
        <v>0</v>
      </c>
      <c r="F77" s="1">
        <f>COUNTIFS(Absensi!$D75:$ND75,Rekap!F$6,Absensi!$D$2:$ND$2,$M$2)</f>
        <v>0</v>
      </c>
      <c r="G77" s="1">
        <f>COUNTIFS(Absensi!$D75:$ND75,Rekap!G$6,Absensi!$D$2:$ND$2,$M$2)</f>
        <v>0</v>
      </c>
      <c r="H77" s="1">
        <f>COUNTIFS(Absensi!$D75:$ND75,Rekap!H$6,Absensi!$D$2:$ND$2,$M$2)</f>
        <v>0</v>
      </c>
      <c r="I77" s="1">
        <f>COUNTIFS(Absensi!$D75:$ND75,Rekap!I$6,Absensi!$D$2:$ND$2,$M$2)</f>
        <v>0</v>
      </c>
      <c r="J77" s="1">
        <f>COUNTIFS(Absensi!$D75:$ND75,Rekap!J$6,Absensi!$D$2:$ND$2,$M$2)</f>
        <v>0</v>
      </c>
      <c r="K77" s="1"/>
      <c r="L77" s="1"/>
      <c r="M77" s="47">
        <f>IF($M$2="01",SUMIF(Test!$D:$D,Rekap!D77,Test!$AC:$AC),IF($M$2="02",SUMIF(Test!$D:$D,Rekap!D77,Test!$AD:$AD),IF($M$2="03",SUMIF(Test!$D:$D,Rekap!D77,Test!$AE:$AE),IF($M$2="04",SUMIF(Test!$D:$D,Rekap!D77,Test!$AF:$AF),IF($M$2="05",SUMIF(Test!$D:$D,Rekap!D77,Test!$AG:$AG),IF($M$2="06",SUMIF(Test!$D:$D,Rekap!D77,Test!$AH:$AH),IF($M$2="07",SUMIF(Test!$D:$D,Rekap!D77,Test!$AI:$AI),IF($M$2="08",SUMIF(Test!$D:$D,Rekap!D77,Test!$AJ:$AJ),IF($M$2="09",SUMIF(Test!$D:$D,Rekap!D77,Test!$AK:$AK),IF($M$2="10",SUMIF(Test!$D:$D,Rekap!D77,Test!$AL:$AL),IF($M$2="11",SUMIF(Test!$D:$D,Rekap!D77,Test!$AM:$AM),IF($M$2="12",SUMIF(Test!$D:$D,Rekap!D77,Test!$AN:$AN),0))))))))))))</f>
        <v>-4</v>
      </c>
    </row>
    <row r="78" spans="1:13" ht="15" customHeight="1" x14ac:dyDescent="0.25">
      <c r="A78" s="26">
        <v>72</v>
      </c>
      <c r="B78" s="27" t="str">
        <f>Absensi!B76</f>
        <v>Set Up</v>
      </c>
      <c r="C78" s="27" t="str">
        <f>Absensi!C76</f>
        <v>Muchtar</v>
      </c>
      <c r="D78" s="27" t="str">
        <f t="shared" si="1"/>
        <v>Set UpMuchtar</v>
      </c>
      <c r="E78" s="1">
        <f>COUNTIFS(Absensi!$D76:$ND76,Rekap!E$6,Absensi!$D$2:$ND$2,$M$2)</f>
        <v>0</v>
      </c>
      <c r="F78" s="1">
        <f>COUNTIFS(Absensi!$D76:$ND76,Rekap!F$6,Absensi!$D$2:$ND$2,$M$2)</f>
        <v>0</v>
      </c>
      <c r="G78" s="1">
        <f>COUNTIFS(Absensi!$D76:$ND76,Rekap!G$6,Absensi!$D$2:$ND$2,$M$2)</f>
        <v>0</v>
      </c>
      <c r="H78" s="1">
        <f>COUNTIFS(Absensi!$D76:$ND76,Rekap!H$6,Absensi!$D$2:$ND$2,$M$2)</f>
        <v>0</v>
      </c>
      <c r="I78" s="1">
        <f>COUNTIFS(Absensi!$D76:$ND76,Rekap!I$6,Absensi!$D$2:$ND$2,$M$2)</f>
        <v>0</v>
      </c>
      <c r="J78" s="1">
        <f>COUNTIFS(Absensi!$D76:$ND76,Rekap!J$6,Absensi!$D$2:$ND$2,$M$2)</f>
        <v>0</v>
      </c>
      <c r="K78" s="1"/>
      <c r="L78" s="1"/>
      <c r="M78" s="47">
        <f>IF($M$2="01",SUMIF(Test!$D:$D,Rekap!D78,Test!$AC:$AC),IF($M$2="02",SUMIF(Test!$D:$D,Rekap!D78,Test!$AD:$AD),IF($M$2="03",SUMIF(Test!$D:$D,Rekap!D78,Test!$AE:$AE),IF($M$2="04",SUMIF(Test!$D:$D,Rekap!D78,Test!$AF:$AF),IF($M$2="05",SUMIF(Test!$D:$D,Rekap!D78,Test!$AG:$AG),IF($M$2="06",SUMIF(Test!$D:$D,Rekap!D78,Test!$AH:$AH),IF($M$2="07",SUMIF(Test!$D:$D,Rekap!D78,Test!$AI:$AI),IF($M$2="08",SUMIF(Test!$D:$D,Rekap!D78,Test!$AJ:$AJ),IF($M$2="09",SUMIF(Test!$D:$D,Rekap!D78,Test!$AK:$AK),IF($M$2="10",SUMIF(Test!$D:$D,Rekap!D78,Test!$AL:$AL),IF($M$2="11",SUMIF(Test!$D:$D,Rekap!D78,Test!$AM:$AM),IF($M$2="12",SUMIF(Test!$D:$D,Rekap!D78,Test!$AN:$AN),0))))))))))))</f>
        <v>6</v>
      </c>
    </row>
    <row r="79" spans="1:13" ht="15" customHeight="1" x14ac:dyDescent="0.25">
      <c r="A79" s="26">
        <v>73</v>
      </c>
      <c r="B79" s="27" t="str">
        <f>Absensi!B77</f>
        <v>Set Up</v>
      </c>
      <c r="C79" s="53" t="str">
        <f>Absensi!C77</f>
        <v>Alip</v>
      </c>
      <c r="D79" s="27" t="str">
        <f t="shared" si="1"/>
        <v>Set UpAlip</v>
      </c>
      <c r="E79" s="1">
        <f>COUNTIFS(Absensi!$D77:$ND77,Rekap!E$6,Absensi!$D$2:$ND$2,$M$2)</f>
        <v>0</v>
      </c>
      <c r="F79" s="1">
        <f>COUNTIFS(Absensi!$D77:$ND77,Rekap!F$6,Absensi!$D$2:$ND$2,$M$2)</f>
        <v>0</v>
      </c>
      <c r="G79" s="1">
        <f>COUNTIFS(Absensi!$D77:$ND77,Rekap!G$6,Absensi!$D$2:$ND$2,$M$2)</f>
        <v>0</v>
      </c>
      <c r="H79" s="1">
        <f>COUNTIFS(Absensi!$D77:$ND77,Rekap!H$6,Absensi!$D$2:$ND$2,$M$2)</f>
        <v>0</v>
      </c>
      <c r="I79" s="1">
        <f>COUNTIFS(Absensi!$D77:$ND77,Rekap!I$6,Absensi!$D$2:$ND$2,$M$2)</f>
        <v>0</v>
      </c>
      <c r="J79" s="1">
        <f>COUNTIFS(Absensi!$D77:$ND77,Rekap!J$6,Absensi!$D$2:$ND$2,$M$2)</f>
        <v>0</v>
      </c>
      <c r="K79" s="1"/>
      <c r="L79" s="1"/>
      <c r="M79" s="47">
        <f>IF($M$2="01",SUMIF(Test!$D:$D,Rekap!D79,Test!$AC:$AC),IF($M$2="02",SUMIF(Test!$D:$D,Rekap!D79,Test!$AD:$AD),IF($M$2="03",SUMIF(Test!$D:$D,Rekap!D79,Test!$AE:$AE),IF($M$2="04",SUMIF(Test!$D:$D,Rekap!D79,Test!$AF:$AF),IF($M$2="05",SUMIF(Test!$D:$D,Rekap!D79,Test!$AG:$AG),IF($M$2="06",SUMIF(Test!$D:$D,Rekap!D79,Test!$AH:$AH),IF($M$2="07",SUMIF(Test!$D:$D,Rekap!D79,Test!$AI:$AI),IF($M$2="08",SUMIF(Test!$D:$D,Rekap!D79,Test!$AJ:$AJ),IF($M$2="09",SUMIF(Test!$D:$D,Rekap!D79,Test!$AK:$AK),IF($M$2="10",SUMIF(Test!$D:$D,Rekap!D79,Test!$AL:$AL),IF($M$2="11",SUMIF(Test!$D:$D,Rekap!D79,Test!$AM:$AM),IF($M$2="12",SUMIF(Test!$D:$D,Rekap!D79,Test!$AN:$AN),0))))))))))))</f>
        <v>12</v>
      </c>
    </row>
    <row r="80" spans="1:13" ht="15" customHeight="1" x14ac:dyDescent="0.25">
      <c r="A80" s="26">
        <v>74</v>
      </c>
      <c r="B80" s="27" t="str">
        <f>Absensi!B78</f>
        <v>Set Up</v>
      </c>
      <c r="C80" s="53" t="str">
        <f>Absensi!C78</f>
        <v>Bintang Ananda</v>
      </c>
      <c r="D80" s="27" t="str">
        <f t="shared" si="1"/>
        <v>Set UpBintang Ananda</v>
      </c>
      <c r="E80" s="1">
        <f>COUNTIFS(Absensi!$D78:$ND78,Rekap!E$6,Absensi!$D$2:$ND$2,$M$2)</f>
        <v>0</v>
      </c>
      <c r="F80" s="1">
        <f>COUNTIFS(Absensi!$D78:$ND78,Rekap!F$6,Absensi!$D$2:$ND$2,$M$2)</f>
        <v>0</v>
      </c>
      <c r="G80" s="1">
        <f>COUNTIFS(Absensi!$D78:$ND78,Rekap!G$6,Absensi!$D$2:$ND$2,$M$2)</f>
        <v>0</v>
      </c>
      <c r="H80" s="1">
        <f>COUNTIFS(Absensi!$D78:$ND78,Rekap!H$6,Absensi!$D$2:$ND$2,$M$2)</f>
        <v>0</v>
      </c>
      <c r="I80" s="1">
        <f>COUNTIFS(Absensi!$D78:$ND78,Rekap!I$6,Absensi!$D$2:$ND$2,$M$2)</f>
        <v>0</v>
      </c>
      <c r="J80" s="1">
        <f>COUNTIFS(Absensi!$D78:$ND78,Rekap!J$6,Absensi!$D$2:$ND$2,$M$2)</f>
        <v>0</v>
      </c>
      <c r="K80" s="1"/>
      <c r="L80" s="1"/>
      <c r="M80" s="47">
        <f>IF($M$2="01",SUMIF(Test!$D:$D,Rekap!D80,Test!$AC:$AC),IF($M$2="02",SUMIF(Test!$D:$D,Rekap!D80,Test!$AD:$AD),IF($M$2="03",SUMIF(Test!$D:$D,Rekap!D80,Test!$AE:$AE),IF($M$2="04",SUMIF(Test!$D:$D,Rekap!D80,Test!$AF:$AF),IF($M$2="05",SUMIF(Test!$D:$D,Rekap!D80,Test!$AG:$AG),IF($M$2="06",SUMIF(Test!$D:$D,Rekap!D80,Test!$AH:$AH),IF($M$2="07",SUMIF(Test!$D:$D,Rekap!D80,Test!$AI:$AI),IF($M$2="08",SUMIF(Test!$D:$D,Rekap!D80,Test!$AJ:$AJ),IF($M$2="09",SUMIF(Test!$D:$D,Rekap!D80,Test!$AK:$AK),IF($M$2="10",SUMIF(Test!$D:$D,Rekap!D80,Test!$AL:$AL),IF($M$2="11",SUMIF(Test!$D:$D,Rekap!D80,Test!$AM:$AM),IF($M$2="12",SUMIF(Test!$D:$D,Rekap!D80,Test!$AN:$AN),0))))))))))))</f>
        <v>12</v>
      </c>
    </row>
    <row r="81" spans="1:13" ht="15" customHeight="1" x14ac:dyDescent="0.25">
      <c r="A81" s="26">
        <v>75</v>
      </c>
      <c r="B81" s="27" t="str">
        <f>Absensi!B79</f>
        <v>Set Up</v>
      </c>
      <c r="C81" s="27" t="str">
        <f>Absensi!C79</f>
        <v xml:space="preserve">Shaqinah </v>
      </c>
      <c r="D81" s="27" t="str">
        <f t="shared" si="1"/>
        <v xml:space="preserve">Set UpShaqinah </v>
      </c>
      <c r="E81" s="1">
        <f>COUNTIFS(Absensi!$D79:$ND79,Rekap!E$6,Absensi!$D$2:$ND$2,$M$2)</f>
        <v>0</v>
      </c>
      <c r="F81" s="1">
        <f>COUNTIFS(Absensi!$D79:$ND79,Rekap!F$6,Absensi!$D$2:$ND$2,$M$2)</f>
        <v>0</v>
      </c>
      <c r="G81" s="1">
        <f>COUNTIFS(Absensi!$D79:$ND79,Rekap!G$6,Absensi!$D$2:$ND$2,$M$2)</f>
        <v>0</v>
      </c>
      <c r="H81" s="1">
        <f>COUNTIFS(Absensi!$D79:$ND79,Rekap!H$6,Absensi!$D$2:$ND$2,$M$2)</f>
        <v>0</v>
      </c>
      <c r="I81" s="1">
        <f>COUNTIFS(Absensi!$D79:$ND79,Rekap!I$6,Absensi!$D$2:$ND$2,$M$2)</f>
        <v>0</v>
      </c>
      <c r="J81" s="1">
        <f>COUNTIFS(Absensi!$D79:$ND79,Rekap!J$6,Absensi!$D$2:$ND$2,$M$2)</f>
        <v>0</v>
      </c>
      <c r="K81" s="1"/>
      <c r="L81" s="1"/>
      <c r="M81" s="47">
        <f>IF($M$2="01",SUMIF(Test!$D:$D,Rekap!D81,Test!$AC:$AC),IF($M$2="02",SUMIF(Test!$D:$D,Rekap!D81,Test!$AD:$AD),IF($M$2="03",SUMIF(Test!$D:$D,Rekap!D81,Test!$AE:$AE),IF($M$2="04",SUMIF(Test!$D:$D,Rekap!D81,Test!$AF:$AF),IF($M$2="05",SUMIF(Test!$D:$D,Rekap!D81,Test!$AG:$AG),IF($M$2="06",SUMIF(Test!$D:$D,Rekap!D81,Test!$AH:$AH),IF($M$2="07",SUMIF(Test!$D:$D,Rekap!D81,Test!$AI:$AI),IF($M$2="08",SUMIF(Test!$D:$D,Rekap!D81,Test!$AJ:$AJ),IF($M$2="09",SUMIF(Test!$D:$D,Rekap!D81,Test!$AK:$AK),IF($M$2="10",SUMIF(Test!$D:$D,Rekap!D81,Test!$AL:$AL),IF($M$2="11",SUMIF(Test!$D:$D,Rekap!D81,Test!$AM:$AM),IF($M$2="12",SUMIF(Test!$D:$D,Rekap!D81,Test!$AN:$AN),0))))))))))))</f>
        <v>0</v>
      </c>
    </row>
    <row r="82" spans="1:13" ht="15" customHeight="1" x14ac:dyDescent="0.25">
      <c r="A82" s="26">
        <v>76</v>
      </c>
      <c r="B82" s="27" t="str">
        <f>Absensi!B80</f>
        <v>Set Up</v>
      </c>
      <c r="C82" s="27" t="str">
        <f>Absensi!C80</f>
        <v>Karlina Putri</v>
      </c>
      <c r="D82" s="27" t="str">
        <f t="shared" si="1"/>
        <v>Set UpKarlina Putri</v>
      </c>
      <c r="E82" s="1">
        <f>COUNTIFS(Absensi!$D80:$ND80,Rekap!E$6,Absensi!$D$2:$ND$2,$M$2)</f>
        <v>0</v>
      </c>
      <c r="F82" s="1">
        <f>COUNTIFS(Absensi!$D80:$ND80,Rekap!F$6,Absensi!$D$2:$ND$2,$M$2)</f>
        <v>0</v>
      </c>
      <c r="G82" s="1">
        <f>COUNTIFS(Absensi!$D80:$ND80,Rekap!G$6,Absensi!$D$2:$ND$2,$M$2)</f>
        <v>0</v>
      </c>
      <c r="H82" s="1">
        <f>COUNTIFS(Absensi!$D80:$ND80,Rekap!H$6,Absensi!$D$2:$ND$2,$M$2)</f>
        <v>0</v>
      </c>
      <c r="I82" s="1">
        <f>COUNTIFS(Absensi!$D80:$ND80,Rekap!I$6,Absensi!$D$2:$ND$2,$M$2)</f>
        <v>0</v>
      </c>
      <c r="J82" s="1">
        <f>COUNTIFS(Absensi!$D80:$ND80,Rekap!J$6,Absensi!$D$2:$ND$2,$M$2)</f>
        <v>0</v>
      </c>
      <c r="K82" s="1"/>
      <c r="L82" s="1"/>
      <c r="M82" s="47">
        <f>IF($M$2="01",SUMIF(Test!$D:$D,Rekap!D82,Test!$AC:$AC),IF($M$2="02",SUMIF(Test!$D:$D,Rekap!D82,Test!$AD:$AD),IF($M$2="03",SUMIF(Test!$D:$D,Rekap!D82,Test!$AE:$AE),IF($M$2="04",SUMIF(Test!$D:$D,Rekap!D82,Test!$AF:$AF),IF($M$2="05",SUMIF(Test!$D:$D,Rekap!D82,Test!$AG:$AG),IF($M$2="06",SUMIF(Test!$D:$D,Rekap!D82,Test!$AH:$AH),IF($M$2="07",SUMIF(Test!$D:$D,Rekap!D82,Test!$AI:$AI),IF($M$2="08",SUMIF(Test!$D:$D,Rekap!D82,Test!$AJ:$AJ),IF($M$2="09",SUMIF(Test!$D:$D,Rekap!D82,Test!$AK:$AK),IF($M$2="10",SUMIF(Test!$D:$D,Rekap!D82,Test!$AL:$AL),IF($M$2="11",SUMIF(Test!$D:$D,Rekap!D82,Test!$AM:$AM),IF($M$2="12",SUMIF(Test!$D:$D,Rekap!D82,Test!$AN:$AN),0))))))))))))</f>
        <v>0</v>
      </c>
    </row>
    <row r="83" spans="1:13" ht="15" customHeight="1" x14ac:dyDescent="0.25">
      <c r="A83" s="26">
        <v>77</v>
      </c>
      <c r="B83" s="27" t="str">
        <f>Absensi!B81</f>
        <v>Set Up</v>
      </c>
      <c r="C83" s="27" t="str">
        <f>Absensi!C81</f>
        <v>Julio Siahaan</v>
      </c>
      <c r="D83" s="27" t="str">
        <f t="shared" si="1"/>
        <v>Set UpJulio Siahaan</v>
      </c>
      <c r="E83" s="1">
        <f>COUNTIFS(Absensi!$D81:$ND81,Rekap!E$6,Absensi!$D$2:$ND$2,$M$2)</f>
        <v>0</v>
      </c>
      <c r="F83" s="1">
        <f>COUNTIFS(Absensi!$D81:$ND81,Rekap!F$6,Absensi!$D$2:$ND$2,$M$2)</f>
        <v>0</v>
      </c>
      <c r="G83" s="1">
        <f>COUNTIFS(Absensi!$D81:$ND81,Rekap!G$6,Absensi!$D$2:$ND$2,$M$2)</f>
        <v>0</v>
      </c>
      <c r="H83" s="1">
        <f>COUNTIFS(Absensi!$D81:$ND81,Rekap!H$6,Absensi!$D$2:$ND$2,$M$2)</f>
        <v>0</v>
      </c>
      <c r="I83" s="1">
        <f>COUNTIFS(Absensi!$D81:$ND81,Rekap!I$6,Absensi!$D$2:$ND$2,$M$2)</f>
        <v>0</v>
      </c>
      <c r="J83" s="1">
        <f>COUNTIFS(Absensi!$D81:$ND81,Rekap!J$6,Absensi!$D$2:$ND$2,$M$2)</f>
        <v>0</v>
      </c>
      <c r="K83" s="1"/>
      <c r="L83" s="1"/>
      <c r="M83" s="47">
        <f>IF($M$2="01",SUMIF(Test!$D:$D,Rekap!D83,Test!$AC:$AC),IF($M$2="02",SUMIF(Test!$D:$D,Rekap!D83,Test!$AD:$AD),IF($M$2="03",SUMIF(Test!$D:$D,Rekap!D83,Test!$AE:$AE),IF($M$2="04",SUMIF(Test!$D:$D,Rekap!D83,Test!$AF:$AF),IF($M$2="05",SUMIF(Test!$D:$D,Rekap!D83,Test!$AG:$AG),IF($M$2="06",SUMIF(Test!$D:$D,Rekap!D83,Test!$AH:$AH),IF($M$2="07",SUMIF(Test!$D:$D,Rekap!D83,Test!$AI:$AI),IF($M$2="08",SUMIF(Test!$D:$D,Rekap!D83,Test!$AJ:$AJ),IF($M$2="09",SUMIF(Test!$D:$D,Rekap!D83,Test!$AK:$AK),IF($M$2="10",SUMIF(Test!$D:$D,Rekap!D83,Test!$AL:$AL),IF($M$2="11",SUMIF(Test!$D:$D,Rekap!D83,Test!$AM:$AM),IF($M$2="12",SUMIF(Test!$D:$D,Rekap!D83,Test!$AN:$AN),0))))))))))))</f>
        <v>-6</v>
      </c>
    </row>
    <row r="84" spans="1:13" ht="15" customHeight="1" x14ac:dyDescent="0.25">
      <c r="A84" s="26">
        <v>78</v>
      </c>
      <c r="B84" s="27" t="str">
        <f>Absensi!B82</f>
        <v>Set Up</v>
      </c>
      <c r="C84" s="27" t="str">
        <f>Absensi!C82</f>
        <v>Hilman</v>
      </c>
      <c r="D84" s="27" t="str">
        <f t="shared" si="1"/>
        <v>Set UpHilman</v>
      </c>
      <c r="E84" s="1">
        <f>COUNTIFS(Absensi!$D82:$ND82,Rekap!E$6,Absensi!$D$2:$ND$2,$M$2)</f>
        <v>0</v>
      </c>
      <c r="F84" s="1">
        <f>COUNTIFS(Absensi!$D82:$ND82,Rekap!F$6,Absensi!$D$2:$ND$2,$M$2)</f>
        <v>0</v>
      </c>
      <c r="G84" s="1">
        <f>COUNTIFS(Absensi!$D82:$ND82,Rekap!G$6,Absensi!$D$2:$ND$2,$M$2)</f>
        <v>0</v>
      </c>
      <c r="H84" s="1">
        <f>COUNTIFS(Absensi!$D82:$ND82,Rekap!H$6,Absensi!$D$2:$ND$2,$M$2)</f>
        <v>0</v>
      </c>
      <c r="I84" s="1">
        <f>COUNTIFS(Absensi!$D82:$ND82,Rekap!I$6,Absensi!$D$2:$ND$2,$M$2)</f>
        <v>0</v>
      </c>
      <c r="J84" s="1">
        <f>COUNTIFS(Absensi!$D82:$ND82,Rekap!J$6,Absensi!$D$2:$ND$2,$M$2)</f>
        <v>0</v>
      </c>
      <c r="K84" s="1"/>
      <c r="L84" s="1"/>
      <c r="M84" s="47">
        <f>IF($M$2="01",SUMIF(Test!$D:$D,Rekap!D84,Test!$AC:$AC),IF($M$2="02",SUMIF(Test!$D:$D,Rekap!D84,Test!$AD:$AD),IF($M$2="03",SUMIF(Test!$D:$D,Rekap!D84,Test!$AE:$AE),IF($M$2="04",SUMIF(Test!$D:$D,Rekap!D84,Test!$AF:$AF),IF($M$2="05",SUMIF(Test!$D:$D,Rekap!D84,Test!$AG:$AG),IF($M$2="06",SUMIF(Test!$D:$D,Rekap!D84,Test!$AH:$AH),IF($M$2="07",SUMIF(Test!$D:$D,Rekap!D84,Test!$AI:$AI),IF($M$2="08",SUMIF(Test!$D:$D,Rekap!D84,Test!$AJ:$AJ),IF($M$2="09",SUMIF(Test!$D:$D,Rekap!D84,Test!$AK:$AK),IF($M$2="10",SUMIF(Test!$D:$D,Rekap!D84,Test!$AL:$AL),IF($M$2="11",SUMIF(Test!$D:$D,Rekap!D84,Test!$AM:$AM),IF($M$2="12",SUMIF(Test!$D:$D,Rekap!D84,Test!$AN:$AN),0))))))))))))</f>
        <v>-3</v>
      </c>
    </row>
    <row r="85" spans="1:13" ht="15" customHeight="1" x14ac:dyDescent="0.25">
      <c r="A85" s="26">
        <v>79</v>
      </c>
      <c r="B85" s="27" t="str">
        <f>Absensi!B83</f>
        <v>GLC</v>
      </c>
      <c r="C85" s="27" t="str">
        <f>Absensi!C83</f>
        <v>BAGUS</v>
      </c>
      <c r="D85" s="27" t="str">
        <f t="shared" si="1"/>
        <v>GLCBAGUS</v>
      </c>
      <c r="E85" s="1">
        <f>COUNTIFS(Absensi!$D83:$ND83,Rekap!E$6,Absensi!$D$2:$ND$2,$M$2)</f>
        <v>0</v>
      </c>
      <c r="F85" s="1">
        <f>COUNTIFS(Absensi!$D83:$ND83,Rekap!F$6,Absensi!$D$2:$ND$2,$M$2)</f>
        <v>0</v>
      </c>
      <c r="G85" s="1">
        <f>COUNTIFS(Absensi!$D83:$ND83,Rekap!G$6,Absensi!$D$2:$ND$2,$M$2)</f>
        <v>0</v>
      </c>
      <c r="H85" s="1">
        <f>COUNTIFS(Absensi!$D83:$ND83,Rekap!H$6,Absensi!$D$2:$ND$2,$M$2)</f>
        <v>0</v>
      </c>
      <c r="I85" s="1">
        <f>COUNTIFS(Absensi!$D83:$ND83,Rekap!I$6,Absensi!$D$2:$ND$2,$M$2)</f>
        <v>0</v>
      </c>
      <c r="J85" s="1">
        <f>COUNTIFS(Absensi!$D83:$ND83,Rekap!J$6,Absensi!$D$2:$ND$2,$M$2)</f>
        <v>0</v>
      </c>
      <c r="K85" s="1"/>
      <c r="L85" s="1"/>
      <c r="M85" s="47">
        <f>IF($M$2="01",SUMIF(Test!$D:$D,Rekap!D85,Test!$AC:$AC),IF($M$2="02",SUMIF(Test!$D:$D,Rekap!D85,Test!$AD:$AD),IF($M$2="03",SUMIF(Test!$D:$D,Rekap!D85,Test!$AE:$AE),IF($M$2="04",SUMIF(Test!$D:$D,Rekap!D85,Test!$AF:$AF),IF($M$2="05",SUMIF(Test!$D:$D,Rekap!D85,Test!$AG:$AG),IF($M$2="06",SUMIF(Test!$D:$D,Rekap!D85,Test!$AH:$AH),IF($M$2="07",SUMIF(Test!$D:$D,Rekap!D85,Test!$AI:$AI),IF($M$2="08",SUMIF(Test!$D:$D,Rekap!D85,Test!$AJ:$AJ),IF($M$2="09",SUMIF(Test!$D:$D,Rekap!D85,Test!$AK:$AK),IF($M$2="10",SUMIF(Test!$D:$D,Rekap!D85,Test!$AL:$AL),IF($M$2="11",SUMIF(Test!$D:$D,Rekap!D85,Test!$AM:$AM),IF($M$2="12",SUMIF(Test!$D:$D,Rekap!D85,Test!$AN:$AN),0))))))))))))</f>
        <v>9</v>
      </c>
    </row>
    <row r="86" spans="1:13" ht="15" customHeight="1" x14ac:dyDescent="0.25">
      <c r="A86" s="26">
        <v>80</v>
      </c>
      <c r="B86" s="27" t="str">
        <f>Absensi!B84</f>
        <v>GLC</v>
      </c>
      <c r="C86" s="27" t="str">
        <f>Absensi!C84</f>
        <v>ADIT</v>
      </c>
      <c r="D86" s="27" t="str">
        <f t="shared" si="1"/>
        <v>GLCADIT</v>
      </c>
      <c r="E86" s="1">
        <f>COUNTIFS(Absensi!$D84:$ND84,Rekap!E$6,Absensi!$D$2:$ND$2,$M$2)</f>
        <v>0</v>
      </c>
      <c r="F86" s="1">
        <f>COUNTIFS(Absensi!$D84:$ND84,Rekap!F$6,Absensi!$D$2:$ND$2,$M$2)</f>
        <v>0</v>
      </c>
      <c r="G86" s="1">
        <f>COUNTIFS(Absensi!$D84:$ND84,Rekap!G$6,Absensi!$D$2:$ND$2,$M$2)</f>
        <v>0</v>
      </c>
      <c r="H86" s="1">
        <f>COUNTIFS(Absensi!$D84:$ND84,Rekap!H$6,Absensi!$D$2:$ND$2,$M$2)</f>
        <v>0</v>
      </c>
      <c r="I86" s="1">
        <f>COUNTIFS(Absensi!$D84:$ND84,Rekap!I$6,Absensi!$D$2:$ND$2,$M$2)</f>
        <v>0</v>
      </c>
      <c r="J86" s="1">
        <f>COUNTIFS(Absensi!$D84:$ND84,Rekap!J$6,Absensi!$D$2:$ND$2,$M$2)</f>
        <v>0</v>
      </c>
      <c r="K86" s="1"/>
      <c r="L86" s="1"/>
      <c r="M86" s="47">
        <f>IF($M$2="01",SUMIF(Test!$D:$D,Rekap!D86,Test!$AC:$AC),IF($M$2="02",SUMIF(Test!$D:$D,Rekap!D86,Test!$AD:$AD),IF($M$2="03",SUMIF(Test!$D:$D,Rekap!D86,Test!$AE:$AE),IF($M$2="04",SUMIF(Test!$D:$D,Rekap!D86,Test!$AF:$AF),IF($M$2="05",SUMIF(Test!$D:$D,Rekap!D86,Test!$AG:$AG),IF($M$2="06",SUMIF(Test!$D:$D,Rekap!D86,Test!$AH:$AH),IF($M$2="07",SUMIF(Test!$D:$D,Rekap!D86,Test!$AI:$AI),IF($M$2="08",SUMIF(Test!$D:$D,Rekap!D86,Test!$AJ:$AJ),IF($M$2="09",SUMIF(Test!$D:$D,Rekap!D86,Test!$AK:$AK),IF($M$2="10",SUMIF(Test!$D:$D,Rekap!D86,Test!$AL:$AL),IF($M$2="11",SUMIF(Test!$D:$D,Rekap!D86,Test!$AM:$AM),IF($M$2="12",SUMIF(Test!$D:$D,Rekap!D86,Test!$AN:$AN),0))))))))))))</f>
        <v>12</v>
      </c>
    </row>
    <row r="87" spans="1:13" ht="15" customHeight="1" x14ac:dyDescent="0.25">
      <c r="A87" s="26">
        <v>81</v>
      </c>
      <c r="B87" s="27" t="str">
        <f>Absensi!B85</f>
        <v>GLC</v>
      </c>
      <c r="C87" s="27" t="str">
        <f>Absensi!C85</f>
        <v>FAUZI</v>
      </c>
      <c r="D87" s="27" t="str">
        <f t="shared" si="1"/>
        <v>GLCFAUZI</v>
      </c>
      <c r="E87" s="1">
        <f>COUNTIFS(Absensi!$D85:$ND85,Rekap!E$6,Absensi!$D$2:$ND$2,$M$2)</f>
        <v>0</v>
      </c>
      <c r="F87" s="1">
        <f>COUNTIFS(Absensi!$D85:$ND85,Rekap!F$6,Absensi!$D$2:$ND$2,$M$2)</f>
        <v>3</v>
      </c>
      <c r="G87" s="1">
        <f>COUNTIFS(Absensi!$D85:$ND85,Rekap!G$6,Absensi!$D$2:$ND$2,$M$2)</f>
        <v>0</v>
      </c>
      <c r="H87" s="1">
        <f>COUNTIFS(Absensi!$D85:$ND85,Rekap!H$6,Absensi!$D$2:$ND$2,$M$2)</f>
        <v>0</v>
      </c>
      <c r="I87" s="1">
        <f>COUNTIFS(Absensi!$D85:$ND85,Rekap!I$6,Absensi!$D$2:$ND$2,$M$2)</f>
        <v>0</v>
      </c>
      <c r="J87" s="1">
        <f>COUNTIFS(Absensi!$D85:$ND85,Rekap!J$6,Absensi!$D$2:$ND$2,$M$2)</f>
        <v>0</v>
      </c>
      <c r="K87" s="1"/>
      <c r="L87" s="1"/>
      <c r="M87" s="47">
        <f>IF($M$2="01",SUMIF(Test!$D:$D,Rekap!D87,Test!$AC:$AC),IF($M$2="02",SUMIF(Test!$D:$D,Rekap!D87,Test!$AD:$AD),IF($M$2="03",SUMIF(Test!$D:$D,Rekap!D87,Test!$AE:$AE),IF($M$2="04",SUMIF(Test!$D:$D,Rekap!D87,Test!$AF:$AF),IF($M$2="05",SUMIF(Test!$D:$D,Rekap!D87,Test!$AG:$AG),IF($M$2="06",SUMIF(Test!$D:$D,Rekap!D87,Test!$AH:$AH),IF($M$2="07",SUMIF(Test!$D:$D,Rekap!D87,Test!$AI:$AI),IF($M$2="08",SUMIF(Test!$D:$D,Rekap!D87,Test!$AJ:$AJ),IF($M$2="09",SUMIF(Test!$D:$D,Rekap!D87,Test!$AK:$AK),IF($M$2="10",SUMIF(Test!$D:$D,Rekap!D87,Test!$AL:$AL),IF($M$2="11",SUMIF(Test!$D:$D,Rekap!D87,Test!$AM:$AM),IF($M$2="12",SUMIF(Test!$D:$D,Rekap!D87,Test!$AN:$AN),0))))))))))))</f>
        <v>7</v>
      </c>
    </row>
    <row r="88" spans="1:13" ht="15" customHeight="1" x14ac:dyDescent="0.25">
      <c r="A88" s="26">
        <v>82</v>
      </c>
      <c r="B88" s="27" t="str">
        <f>Absensi!B86</f>
        <v>GLC</v>
      </c>
      <c r="C88" s="27" t="str">
        <f>Absensi!C86</f>
        <v>SALWA</v>
      </c>
      <c r="D88" s="27" t="str">
        <f t="shared" si="1"/>
        <v>GLCSALWA</v>
      </c>
      <c r="E88" s="1">
        <f>COUNTIFS(Absensi!$D86:$ND86,Rekap!E$6,Absensi!$D$2:$ND$2,$M$2)</f>
        <v>0</v>
      </c>
      <c r="F88" s="1">
        <f>COUNTIFS(Absensi!$D86:$ND86,Rekap!F$6,Absensi!$D$2:$ND$2,$M$2)</f>
        <v>0</v>
      </c>
      <c r="G88" s="1">
        <f>COUNTIFS(Absensi!$D86:$ND86,Rekap!G$6,Absensi!$D$2:$ND$2,$M$2)</f>
        <v>0</v>
      </c>
      <c r="H88" s="1">
        <f>COUNTIFS(Absensi!$D86:$ND86,Rekap!H$6,Absensi!$D$2:$ND$2,$M$2)</f>
        <v>0</v>
      </c>
      <c r="I88" s="1">
        <f>COUNTIFS(Absensi!$D86:$ND86,Rekap!I$6,Absensi!$D$2:$ND$2,$M$2)</f>
        <v>0</v>
      </c>
      <c r="J88" s="1">
        <f>COUNTIFS(Absensi!$D86:$ND86,Rekap!J$6,Absensi!$D$2:$ND$2,$M$2)</f>
        <v>0</v>
      </c>
      <c r="K88" s="1"/>
      <c r="L88" s="1"/>
      <c r="M88" s="47">
        <f>IF($M$2="01",SUMIF(Test!$D:$D,Rekap!D88,Test!$AC:$AC),IF($M$2="02",SUMIF(Test!$D:$D,Rekap!D88,Test!$AD:$AD),IF($M$2="03",SUMIF(Test!$D:$D,Rekap!D88,Test!$AE:$AE),IF($M$2="04",SUMIF(Test!$D:$D,Rekap!D88,Test!$AF:$AF),IF($M$2="05",SUMIF(Test!$D:$D,Rekap!D88,Test!$AG:$AG),IF($M$2="06",SUMIF(Test!$D:$D,Rekap!D88,Test!$AH:$AH),IF($M$2="07",SUMIF(Test!$D:$D,Rekap!D88,Test!$AI:$AI),IF($M$2="08",SUMIF(Test!$D:$D,Rekap!D88,Test!$AJ:$AJ),IF($M$2="09",SUMIF(Test!$D:$D,Rekap!D88,Test!$AK:$AK),IF($M$2="10",SUMIF(Test!$D:$D,Rekap!D88,Test!$AL:$AL),IF($M$2="11",SUMIF(Test!$D:$D,Rekap!D88,Test!$AM:$AM),IF($M$2="12",SUMIF(Test!$D:$D,Rekap!D88,Test!$AN:$AN),0))))))))))))</f>
        <v>6</v>
      </c>
    </row>
    <row r="89" spans="1:13" ht="15" customHeight="1" x14ac:dyDescent="0.25">
      <c r="A89" s="26">
        <v>83</v>
      </c>
      <c r="B89" s="27" t="str">
        <f>Absensi!B87</f>
        <v>Tanjung Duren</v>
      </c>
      <c r="C89" s="27" t="str">
        <f>Absensi!C87</f>
        <v>Agung</v>
      </c>
      <c r="D89" s="27" t="str">
        <f t="shared" si="1"/>
        <v>Tanjung DurenAgung</v>
      </c>
      <c r="E89" s="1">
        <f>COUNTIFS(Absensi!$D87:$ND87,Rekap!E$6,Absensi!$D$2:$ND$2,$M$2)</f>
        <v>0</v>
      </c>
      <c r="F89" s="1">
        <f>COUNTIFS(Absensi!$D87:$ND87,Rekap!F$6,Absensi!$D$2:$ND$2,$M$2)</f>
        <v>0</v>
      </c>
      <c r="G89" s="1">
        <f>COUNTIFS(Absensi!$D87:$ND87,Rekap!G$6,Absensi!$D$2:$ND$2,$M$2)</f>
        <v>0</v>
      </c>
      <c r="H89" s="1">
        <f>COUNTIFS(Absensi!$D87:$ND87,Rekap!H$6,Absensi!$D$2:$ND$2,$M$2)</f>
        <v>0</v>
      </c>
      <c r="I89" s="1">
        <f>COUNTIFS(Absensi!$D87:$ND87,Rekap!I$6,Absensi!$D$2:$ND$2,$M$2)</f>
        <v>0</v>
      </c>
      <c r="J89" s="1">
        <f>COUNTIFS(Absensi!$D87:$ND87,Rekap!J$6,Absensi!$D$2:$ND$2,$M$2)</f>
        <v>0</v>
      </c>
      <c r="K89" s="1"/>
      <c r="L89" s="1"/>
      <c r="M89" s="47">
        <f>IF($M$2="01",SUMIF(Test!$D:$D,Rekap!D89,Test!$AC:$AC),IF($M$2="02",SUMIF(Test!$D:$D,Rekap!D89,Test!$AD:$AD),IF($M$2="03",SUMIF(Test!$D:$D,Rekap!D89,Test!$AE:$AE),IF($M$2="04",SUMIF(Test!$D:$D,Rekap!D89,Test!$AF:$AF),IF($M$2="05",SUMIF(Test!$D:$D,Rekap!D89,Test!$AG:$AG),IF($M$2="06",SUMIF(Test!$D:$D,Rekap!D89,Test!$AH:$AH),IF($M$2="07",SUMIF(Test!$D:$D,Rekap!D89,Test!$AI:$AI),IF($M$2="08",SUMIF(Test!$D:$D,Rekap!D89,Test!$AJ:$AJ),IF($M$2="09",SUMIF(Test!$D:$D,Rekap!D89,Test!$AK:$AK),IF($M$2="10",SUMIF(Test!$D:$D,Rekap!D89,Test!$AL:$AL),IF($M$2="11",SUMIF(Test!$D:$D,Rekap!D89,Test!$AM:$AM),IF($M$2="12",SUMIF(Test!$D:$D,Rekap!D89,Test!$AN:$AN),0))))))))))))</f>
        <v>6</v>
      </c>
    </row>
    <row r="90" spans="1:13" ht="15" customHeight="1" x14ac:dyDescent="0.25">
      <c r="A90" s="26">
        <v>84</v>
      </c>
      <c r="B90" s="27" t="str">
        <f>Absensi!B88</f>
        <v>Tanjung Duren</v>
      </c>
      <c r="C90" s="27" t="str">
        <f>Absensi!C88</f>
        <v>Bany</v>
      </c>
      <c r="D90" s="27" t="str">
        <f t="shared" si="1"/>
        <v>Tanjung DurenBany</v>
      </c>
      <c r="E90" s="1">
        <f>COUNTIFS(Absensi!$D88:$ND88,Rekap!E$6,Absensi!$D$2:$ND$2,$M$2)</f>
        <v>0</v>
      </c>
      <c r="F90" s="1">
        <f>COUNTIFS(Absensi!$D88:$ND88,Rekap!F$6,Absensi!$D$2:$ND$2,$M$2)</f>
        <v>0</v>
      </c>
      <c r="G90" s="1">
        <f>COUNTIFS(Absensi!$D88:$ND88,Rekap!G$6,Absensi!$D$2:$ND$2,$M$2)</f>
        <v>0</v>
      </c>
      <c r="H90" s="1">
        <f>COUNTIFS(Absensi!$D88:$ND88,Rekap!H$6,Absensi!$D$2:$ND$2,$M$2)</f>
        <v>0</v>
      </c>
      <c r="I90" s="1">
        <f>COUNTIFS(Absensi!$D88:$ND88,Rekap!I$6,Absensi!$D$2:$ND$2,$M$2)</f>
        <v>0</v>
      </c>
      <c r="J90" s="1">
        <f>COUNTIFS(Absensi!$D88:$ND88,Rekap!J$6,Absensi!$D$2:$ND$2,$M$2)</f>
        <v>0</v>
      </c>
      <c r="K90" s="1"/>
      <c r="L90" s="1"/>
      <c r="M90" s="47">
        <f>IF($M$2="01",SUMIF(Test!$D:$D,Rekap!D90,Test!$AC:$AC),IF($M$2="02",SUMIF(Test!$D:$D,Rekap!D90,Test!$AD:$AD),IF($M$2="03",SUMIF(Test!$D:$D,Rekap!D90,Test!$AE:$AE),IF($M$2="04",SUMIF(Test!$D:$D,Rekap!D90,Test!$AF:$AF),IF($M$2="05",SUMIF(Test!$D:$D,Rekap!D90,Test!$AG:$AG),IF($M$2="06",SUMIF(Test!$D:$D,Rekap!D90,Test!$AH:$AH),IF($M$2="07",SUMIF(Test!$D:$D,Rekap!D90,Test!$AI:$AI),IF($M$2="08",SUMIF(Test!$D:$D,Rekap!D90,Test!$AJ:$AJ),IF($M$2="09",SUMIF(Test!$D:$D,Rekap!D90,Test!$AK:$AK),IF($M$2="10",SUMIF(Test!$D:$D,Rekap!D90,Test!$AL:$AL),IF($M$2="11",SUMIF(Test!$D:$D,Rekap!D90,Test!$AM:$AM),IF($M$2="12",SUMIF(Test!$D:$D,Rekap!D90,Test!$AN:$AN),0))))))))))))</f>
        <v>12</v>
      </c>
    </row>
    <row r="91" spans="1:13" ht="15" customHeight="1" x14ac:dyDescent="0.25">
      <c r="A91" s="26">
        <v>85</v>
      </c>
      <c r="B91" s="27" t="str">
        <f>Absensi!B89</f>
        <v>Tanjung Duren</v>
      </c>
      <c r="C91" s="27" t="str">
        <f>Absensi!C89</f>
        <v>Afrizal</v>
      </c>
      <c r="D91" s="27" t="str">
        <f t="shared" si="1"/>
        <v>Tanjung DurenAfrizal</v>
      </c>
      <c r="E91" s="1">
        <f>COUNTIFS(Absensi!$D89:$ND89,Rekap!E$6,Absensi!$D$2:$ND$2,$M$2)</f>
        <v>0</v>
      </c>
      <c r="F91" s="1">
        <f>COUNTIFS(Absensi!$D89:$ND89,Rekap!F$6,Absensi!$D$2:$ND$2,$M$2)</f>
        <v>3</v>
      </c>
      <c r="G91" s="1">
        <f>COUNTIFS(Absensi!$D89:$ND89,Rekap!G$6,Absensi!$D$2:$ND$2,$M$2)</f>
        <v>0</v>
      </c>
      <c r="H91" s="1">
        <f>COUNTIFS(Absensi!$D89:$ND89,Rekap!H$6,Absensi!$D$2:$ND$2,$M$2)</f>
        <v>0</v>
      </c>
      <c r="I91" s="1">
        <f>COUNTIFS(Absensi!$D89:$ND89,Rekap!I$6,Absensi!$D$2:$ND$2,$M$2)</f>
        <v>0</v>
      </c>
      <c r="J91" s="1">
        <f>COUNTIFS(Absensi!$D89:$ND89,Rekap!J$6,Absensi!$D$2:$ND$2,$M$2)</f>
        <v>0</v>
      </c>
      <c r="K91" s="1"/>
      <c r="L91" s="1"/>
      <c r="M91" s="47">
        <f>IF($M$2="01",SUMIF(Test!$D:$D,Rekap!D91,Test!$AC:$AC),IF($M$2="02",SUMIF(Test!$D:$D,Rekap!D91,Test!$AD:$AD),IF($M$2="03",SUMIF(Test!$D:$D,Rekap!D91,Test!$AE:$AE),IF($M$2="04",SUMIF(Test!$D:$D,Rekap!D91,Test!$AF:$AF),IF($M$2="05",SUMIF(Test!$D:$D,Rekap!D91,Test!$AG:$AG),IF($M$2="06",SUMIF(Test!$D:$D,Rekap!D91,Test!$AH:$AH),IF($M$2="07",SUMIF(Test!$D:$D,Rekap!D91,Test!$AI:$AI),IF($M$2="08",SUMIF(Test!$D:$D,Rekap!D91,Test!$AJ:$AJ),IF($M$2="09",SUMIF(Test!$D:$D,Rekap!D91,Test!$AK:$AK),IF($M$2="10",SUMIF(Test!$D:$D,Rekap!D91,Test!$AL:$AL),IF($M$2="11",SUMIF(Test!$D:$D,Rekap!D91,Test!$AM:$AM),IF($M$2="12",SUMIF(Test!$D:$D,Rekap!D91,Test!$AN:$AN),0))))))))))))</f>
        <v>8</v>
      </c>
    </row>
    <row r="92" spans="1:13" ht="15" customHeight="1" x14ac:dyDescent="0.25">
      <c r="A92" s="26">
        <v>86</v>
      </c>
      <c r="B92" s="27" t="str">
        <f>Absensi!B90</f>
        <v>Tanjung Duren</v>
      </c>
      <c r="C92" s="27" t="str">
        <f>Absensi!C90</f>
        <v>Tri kartika</v>
      </c>
      <c r="D92" s="27" t="str">
        <f t="shared" si="1"/>
        <v>Tanjung DurenTri kartika</v>
      </c>
      <c r="E92" s="1">
        <f>COUNTIFS(Absensi!$D90:$ND90,Rekap!E$6,Absensi!$D$2:$ND$2,$M$2)</f>
        <v>0</v>
      </c>
      <c r="F92" s="1">
        <f>COUNTIFS(Absensi!$D90:$ND90,Rekap!F$6,Absensi!$D$2:$ND$2,$M$2)</f>
        <v>2</v>
      </c>
      <c r="G92" s="1">
        <f>COUNTIFS(Absensi!$D90:$ND90,Rekap!G$6,Absensi!$D$2:$ND$2,$M$2)</f>
        <v>0</v>
      </c>
      <c r="H92" s="1">
        <f>COUNTIFS(Absensi!$D90:$ND90,Rekap!H$6,Absensi!$D$2:$ND$2,$M$2)</f>
        <v>0</v>
      </c>
      <c r="I92" s="1">
        <f>COUNTIFS(Absensi!$D90:$ND90,Rekap!I$6,Absensi!$D$2:$ND$2,$M$2)</f>
        <v>0</v>
      </c>
      <c r="J92" s="1">
        <f>COUNTIFS(Absensi!$D90:$ND90,Rekap!J$6,Absensi!$D$2:$ND$2,$M$2)</f>
        <v>0</v>
      </c>
      <c r="K92" s="1"/>
      <c r="L92" s="1"/>
      <c r="M92" s="47">
        <f>IF($M$2="01",SUMIF(Test!$D:$D,Rekap!D92,Test!$AC:$AC),IF($M$2="02",SUMIF(Test!$D:$D,Rekap!D92,Test!$AD:$AD),IF($M$2="03",SUMIF(Test!$D:$D,Rekap!D92,Test!$AE:$AE),IF($M$2="04",SUMIF(Test!$D:$D,Rekap!D92,Test!$AF:$AF),IF($M$2="05",SUMIF(Test!$D:$D,Rekap!D92,Test!$AG:$AG),IF($M$2="06",SUMIF(Test!$D:$D,Rekap!D92,Test!$AH:$AH),IF($M$2="07",SUMIF(Test!$D:$D,Rekap!D92,Test!$AI:$AI),IF($M$2="08",SUMIF(Test!$D:$D,Rekap!D92,Test!$AJ:$AJ),IF($M$2="09",SUMIF(Test!$D:$D,Rekap!D92,Test!$AK:$AK),IF($M$2="10",SUMIF(Test!$D:$D,Rekap!D92,Test!$AL:$AL),IF($M$2="11",SUMIF(Test!$D:$D,Rekap!D92,Test!$AM:$AM),IF($M$2="12",SUMIF(Test!$D:$D,Rekap!D92,Test!$AN:$AN),0))))))))))))</f>
        <v>3</v>
      </c>
    </row>
    <row r="93" spans="1:13" ht="15" customHeight="1" x14ac:dyDescent="0.25">
      <c r="A93" s="26">
        <v>87</v>
      </c>
      <c r="B93" s="27" t="str">
        <f>Absensi!B91</f>
        <v>IDD</v>
      </c>
      <c r="C93" s="27" t="str">
        <f>Absensi!C91</f>
        <v>Aulia</v>
      </c>
      <c r="D93" s="27" t="str">
        <f t="shared" si="1"/>
        <v>IDDAulia</v>
      </c>
      <c r="E93" s="1">
        <f>COUNTIFS(Absensi!$D91:$ND91,Rekap!E$6,Absensi!$D$2:$ND$2,$M$2)</f>
        <v>0</v>
      </c>
      <c r="F93" s="1">
        <f>COUNTIFS(Absensi!$D91:$ND91,Rekap!F$6,Absensi!$D$2:$ND$2,$M$2)</f>
        <v>7</v>
      </c>
      <c r="G93" s="1">
        <f>COUNTIFS(Absensi!$D91:$ND91,Rekap!G$6,Absensi!$D$2:$ND$2,$M$2)</f>
        <v>0</v>
      </c>
      <c r="H93" s="1">
        <f>COUNTIFS(Absensi!$D91:$ND91,Rekap!H$6,Absensi!$D$2:$ND$2,$M$2)</f>
        <v>0</v>
      </c>
      <c r="I93" s="1">
        <f>COUNTIFS(Absensi!$D91:$ND91,Rekap!I$6,Absensi!$D$2:$ND$2,$M$2)</f>
        <v>0</v>
      </c>
      <c r="J93" s="1">
        <f>COUNTIFS(Absensi!$D91:$ND91,Rekap!J$6,Absensi!$D$2:$ND$2,$M$2)</f>
        <v>0</v>
      </c>
      <c r="K93" s="1"/>
      <c r="L93" s="1"/>
      <c r="M93" s="47">
        <f>IF($M$2="01",SUMIF(Test!$D:$D,Rekap!D93,Test!$AC:$AC),IF($M$2="02",SUMIF(Test!$D:$D,Rekap!D93,Test!$AD:$AD),IF($M$2="03",SUMIF(Test!$D:$D,Rekap!D93,Test!$AE:$AE),IF($M$2="04",SUMIF(Test!$D:$D,Rekap!D93,Test!$AF:$AF),IF($M$2="05",SUMIF(Test!$D:$D,Rekap!D93,Test!$AG:$AG),IF($M$2="06",SUMIF(Test!$D:$D,Rekap!D93,Test!$AH:$AH),IF($M$2="07",SUMIF(Test!$D:$D,Rekap!D93,Test!$AI:$AI),IF($M$2="08",SUMIF(Test!$D:$D,Rekap!D93,Test!$AJ:$AJ),IF($M$2="09",SUMIF(Test!$D:$D,Rekap!D93,Test!$AK:$AK),IF($M$2="10",SUMIF(Test!$D:$D,Rekap!D93,Test!$AL:$AL),IF($M$2="11",SUMIF(Test!$D:$D,Rekap!D93,Test!$AM:$AM),IF($M$2="12",SUMIF(Test!$D:$D,Rekap!D93,Test!$AN:$AN),0))))))))))))</f>
        <v>5</v>
      </c>
    </row>
    <row r="94" spans="1:13" ht="15" customHeight="1" x14ac:dyDescent="0.25">
      <c r="A94" s="26">
        <v>88</v>
      </c>
      <c r="B94" s="27" t="str">
        <f>Absensi!B92</f>
        <v>IDD</v>
      </c>
      <c r="C94" s="27" t="str">
        <f>Absensi!C92</f>
        <v>Neneng nurasiah</v>
      </c>
      <c r="D94" s="27" t="str">
        <f t="shared" si="1"/>
        <v>IDDNeneng nurasiah</v>
      </c>
      <c r="E94" s="1">
        <f>COUNTIFS(Absensi!$D92:$ND92,Rekap!E$6,Absensi!$D$2:$ND$2,$M$2)</f>
        <v>0</v>
      </c>
      <c r="F94" s="1">
        <f>COUNTIFS(Absensi!$D92:$ND92,Rekap!F$6,Absensi!$D$2:$ND$2,$M$2)</f>
        <v>0</v>
      </c>
      <c r="G94" s="1">
        <f>COUNTIFS(Absensi!$D92:$ND92,Rekap!G$6,Absensi!$D$2:$ND$2,$M$2)</f>
        <v>0</v>
      </c>
      <c r="H94" s="1">
        <f>COUNTIFS(Absensi!$D92:$ND92,Rekap!H$6,Absensi!$D$2:$ND$2,$M$2)</f>
        <v>0</v>
      </c>
      <c r="I94" s="1">
        <f>COUNTIFS(Absensi!$D92:$ND92,Rekap!I$6,Absensi!$D$2:$ND$2,$M$2)</f>
        <v>0</v>
      </c>
      <c r="J94" s="1">
        <f>COUNTIFS(Absensi!$D92:$ND92,Rekap!J$6,Absensi!$D$2:$ND$2,$M$2)</f>
        <v>0</v>
      </c>
      <c r="K94" s="1"/>
      <c r="L94" s="1"/>
      <c r="M94" s="47">
        <f>IF($M$2="01",SUMIF(Test!$D:$D,Rekap!D94,Test!$AC:$AC),IF($M$2="02",SUMIF(Test!$D:$D,Rekap!D94,Test!$AD:$AD),IF($M$2="03",SUMIF(Test!$D:$D,Rekap!D94,Test!$AE:$AE),IF($M$2="04",SUMIF(Test!$D:$D,Rekap!D94,Test!$AF:$AF),IF($M$2="05",SUMIF(Test!$D:$D,Rekap!D94,Test!$AG:$AG),IF($M$2="06",SUMIF(Test!$D:$D,Rekap!D94,Test!$AH:$AH),IF($M$2="07",SUMIF(Test!$D:$D,Rekap!D94,Test!$AI:$AI),IF($M$2="08",SUMIF(Test!$D:$D,Rekap!D94,Test!$AJ:$AJ),IF($M$2="09",SUMIF(Test!$D:$D,Rekap!D94,Test!$AK:$AK),IF($M$2="10",SUMIF(Test!$D:$D,Rekap!D94,Test!$AL:$AL),IF($M$2="11",SUMIF(Test!$D:$D,Rekap!D94,Test!$AM:$AM),IF($M$2="12",SUMIF(Test!$D:$D,Rekap!D94,Test!$AN:$AN),0))))))))))))</f>
        <v>12</v>
      </c>
    </row>
    <row r="95" spans="1:13" ht="15" customHeight="1" x14ac:dyDescent="0.25">
      <c r="A95" s="26">
        <v>89</v>
      </c>
      <c r="B95" s="27" t="str">
        <f>Absensi!B93</f>
        <v>Reef Plus</v>
      </c>
      <c r="C95" s="27" t="str">
        <f>Absensi!C93</f>
        <v>Andry</v>
      </c>
      <c r="D95" s="27" t="str">
        <f t="shared" si="1"/>
        <v>Reef PlusAndry</v>
      </c>
      <c r="E95" s="1">
        <f>COUNTIFS(Absensi!$D93:$ND93,Rekap!E$6,Absensi!$D$2:$ND$2,$M$2)</f>
        <v>0</v>
      </c>
      <c r="F95" s="1">
        <f>COUNTIFS(Absensi!$D93:$ND93,Rekap!F$6,Absensi!$D$2:$ND$2,$M$2)</f>
        <v>0</v>
      </c>
      <c r="G95" s="1">
        <f>COUNTIFS(Absensi!$D93:$ND93,Rekap!G$6,Absensi!$D$2:$ND$2,$M$2)</f>
        <v>0</v>
      </c>
      <c r="H95" s="1">
        <f>COUNTIFS(Absensi!$D93:$ND93,Rekap!H$6,Absensi!$D$2:$ND$2,$M$2)</f>
        <v>0</v>
      </c>
      <c r="I95" s="1">
        <f>COUNTIFS(Absensi!$D93:$ND93,Rekap!I$6,Absensi!$D$2:$ND$2,$M$2)</f>
        <v>0</v>
      </c>
      <c r="J95" s="1">
        <f>COUNTIFS(Absensi!$D93:$ND93,Rekap!J$6,Absensi!$D$2:$ND$2,$M$2)</f>
        <v>0</v>
      </c>
      <c r="K95" s="1"/>
      <c r="L95" s="1"/>
      <c r="M95" s="47">
        <f>IF($M$2="01",SUMIF(Test!$D:$D,Rekap!D95,Test!$AC:$AC),IF($M$2="02",SUMIF(Test!$D:$D,Rekap!D95,Test!$AD:$AD),IF($M$2="03",SUMIF(Test!$D:$D,Rekap!D95,Test!$AE:$AE),IF($M$2="04",SUMIF(Test!$D:$D,Rekap!D95,Test!$AF:$AF),IF($M$2="05",SUMIF(Test!$D:$D,Rekap!D95,Test!$AG:$AG),IF($M$2="06",SUMIF(Test!$D:$D,Rekap!D95,Test!$AH:$AH),IF($M$2="07",SUMIF(Test!$D:$D,Rekap!D95,Test!$AI:$AI),IF($M$2="08",SUMIF(Test!$D:$D,Rekap!D95,Test!$AJ:$AJ),IF($M$2="09",SUMIF(Test!$D:$D,Rekap!D95,Test!$AK:$AK),IF($M$2="10",SUMIF(Test!$D:$D,Rekap!D95,Test!$AL:$AL),IF($M$2="11",SUMIF(Test!$D:$D,Rekap!D95,Test!$AM:$AM),IF($M$2="12",SUMIF(Test!$D:$D,Rekap!D95,Test!$AN:$AN),0))))))))))))</f>
        <v>12</v>
      </c>
    </row>
    <row r="96" spans="1:13" ht="15" customHeight="1" x14ac:dyDescent="0.25">
      <c r="A96" s="26">
        <v>90</v>
      </c>
      <c r="B96" s="27" t="str">
        <f>Absensi!B94</f>
        <v>Reef Plus</v>
      </c>
      <c r="C96" s="27" t="str">
        <f>Absensi!C94</f>
        <v>Yono</v>
      </c>
      <c r="D96" s="27" t="str">
        <f t="shared" si="1"/>
        <v>Reef PlusYono</v>
      </c>
      <c r="E96" s="1">
        <f>COUNTIFS(Absensi!$D94:$ND94,Rekap!E$6,Absensi!$D$2:$ND$2,$M$2)</f>
        <v>0</v>
      </c>
      <c r="F96" s="1">
        <f>COUNTIFS(Absensi!$D94:$ND94,Rekap!F$6,Absensi!$D$2:$ND$2,$M$2)</f>
        <v>0</v>
      </c>
      <c r="G96" s="1">
        <f>COUNTIFS(Absensi!$D94:$ND94,Rekap!G$6,Absensi!$D$2:$ND$2,$M$2)</f>
        <v>0</v>
      </c>
      <c r="H96" s="1">
        <f>COUNTIFS(Absensi!$D94:$ND94,Rekap!H$6,Absensi!$D$2:$ND$2,$M$2)</f>
        <v>0</v>
      </c>
      <c r="I96" s="1">
        <f>COUNTIFS(Absensi!$D94:$ND94,Rekap!I$6,Absensi!$D$2:$ND$2,$M$2)</f>
        <v>0</v>
      </c>
      <c r="J96" s="1">
        <f>COUNTIFS(Absensi!$D94:$ND94,Rekap!J$6,Absensi!$D$2:$ND$2,$M$2)</f>
        <v>0</v>
      </c>
      <c r="K96" s="1"/>
      <c r="L96" s="1"/>
      <c r="M96" s="47">
        <f>IF($M$2="01",SUMIF(Test!$D:$D,Rekap!D96,Test!$AC:$AC),IF($M$2="02",SUMIF(Test!$D:$D,Rekap!D96,Test!$AD:$AD),IF($M$2="03",SUMIF(Test!$D:$D,Rekap!D96,Test!$AE:$AE),IF($M$2="04",SUMIF(Test!$D:$D,Rekap!D96,Test!$AF:$AF),IF($M$2="05",SUMIF(Test!$D:$D,Rekap!D96,Test!$AG:$AG),IF($M$2="06",SUMIF(Test!$D:$D,Rekap!D96,Test!$AH:$AH),IF($M$2="07",SUMIF(Test!$D:$D,Rekap!D96,Test!$AI:$AI),IF($M$2="08",SUMIF(Test!$D:$D,Rekap!D96,Test!$AJ:$AJ),IF($M$2="09",SUMIF(Test!$D:$D,Rekap!D96,Test!$AK:$AK),IF($M$2="10",SUMIF(Test!$D:$D,Rekap!D96,Test!$AL:$AL),IF($M$2="11",SUMIF(Test!$D:$D,Rekap!D96,Test!$AM:$AM),IF($M$2="12",SUMIF(Test!$D:$D,Rekap!D96,Test!$AN:$AN),0))))))))))))</f>
        <v>2</v>
      </c>
    </row>
    <row r="97" spans="1:13" ht="15" customHeight="1" x14ac:dyDescent="0.25">
      <c r="A97" s="26">
        <v>91</v>
      </c>
      <c r="B97" s="27" t="str">
        <f>Absensi!B95</f>
        <v>Reef Plus</v>
      </c>
      <c r="C97" s="27" t="str">
        <f>Absensi!C95</f>
        <v>Faturrachman</v>
      </c>
      <c r="D97" s="27" t="str">
        <f t="shared" si="1"/>
        <v>Reef PlusFaturrachman</v>
      </c>
      <c r="E97" s="1">
        <f>COUNTIFS(Absensi!$D95:$ND95,Rekap!E$6,Absensi!$D$2:$ND$2,$M$2)</f>
        <v>0</v>
      </c>
      <c r="F97" s="1">
        <f>COUNTIFS(Absensi!$D95:$ND95,Rekap!F$6,Absensi!$D$2:$ND$2,$M$2)</f>
        <v>1</v>
      </c>
      <c r="G97" s="1">
        <f>COUNTIFS(Absensi!$D95:$ND95,Rekap!G$6,Absensi!$D$2:$ND$2,$M$2)</f>
        <v>0</v>
      </c>
      <c r="H97" s="1">
        <f>COUNTIFS(Absensi!$D95:$ND95,Rekap!H$6,Absensi!$D$2:$ND$2,$M$2)</f>
        <v>0</v>
      </c>
      <c r="I97" s="1">
        <f>COUNTIFS(Absensi!$D95:$ND95,Rekap!I$6,Absensi!$D$2:$ND$2,$M$2)</f>
        <v>0</v>
      </c>
      <c r="J97" s="1">
        <f>COUNTIFS(Absensi!$D95:$ND95,Rekap!J$6,Absensi!$D$2:$ND$2,$M$2)</f>
        <v>0</v>
      </c>
      <c r="K97" s="1"/>
      <c r="L97" s="1"/>
      <c r="M97" s="47">
        <f>IF($M$2="01",SUMIF(Test!$D:$D,Rekap!D97,Test!$AC:$AC),IF($M$2="02",SUMIF(Test!$D:$D,Rekap!D97,Test!$AD:$AD),IF($M$2="03",SUMIF(Test!$D:$D,Rekap!D97,Test!$AE:$AE),IF($M$2="04",SUMIF(Test!$D:$D,Rekap!D97,Test!$AF:$AF),IF($M$2="05",SUMIF(Test!$D:$D,Rekap!D97,Test!$AG:$AG),IF($M$2="06",SUMIF(Test!$D:$D,Rekap!D97,Test!$AH:$AH),IF($M$2="07",SUMIF(Test!$D:$D,Rekap!D97,Test!$AI:$AI),IF($M$2="08",SUMIF(Test!$D:$D,Rekap!D97,Test!$AJ:$AJ),IF($M$2="09",SUMIF(Test!$D:$D,Rekap!D97,Test!$AK:$AK),IF($M$2="10",SUMIF(Test!$D:$D,Rekap!D97,Test!$AL:$AL),IF($M$2="11",SUMIF(Test!$D:$D,Rekap!D97,Test!$AM:$AM),IF($M$2="12",SUMIF(Test!$D:$D,Rekap!D97,Test!$AN:$AN),0))))))))))))</f>
        <v>4</v>
      </c>
    </row>
    <row r="98" spans="1:13" ht="15" customHeight="1" x14ac:dyDescent="0.25">
      <c r="A98" s="26">
        <v>92</v>
      </c>
      <c r="B98" s="27" t="str">
        <f>Absensi!B96</f>
        <v>Reef Plus</v>
      </c>
      <c r="C98" s="27" t="str">
        <f>Absensi!C96</f>
        <v>Tomi</v>
      </c>
      <c r="D98" s="27" t="str">
        <f t="shared" si="1"/>
        <v>Reef PlusTomi</v>
      </c>
      <c r="E98" s="1">
        <f>COUNTIFS(Absensi!$D96:$ND96,Rekap!E$6,Absensi!$D$2:$ND$2,$M$2)</f>
        <v>0</v>
      </c>
      <c r="F98" s="1">
        <f>COUNTIFS(Absensi!$D96:$ND96,Rekap!F$6,Absensi!$D$2:$ND$2,$M$2)</f>
        <v>0</v>
      </c>
      <c r="G98" s="1">
        <f>COUNTIFS(Absensi!$D96:$ND96,Rekap!G$6,Absensi!$D$2:$ND$2,$M$2)</f>
        <v>0</v>
      </c>
      <c r="H98" s="1">
        <f>COUNTIFS(Absensi!$D96:$ND96,Rekap!H$6,Absensi!$D$2:$ND$2,$M$2)</f>
        <v>0</v>
      </c>
      <c r="I98" s="1">
        <f>COUNTIFS(Absensi!$D96:$ND96,Rekap!I$6,Absensi!$D$2:$ND$2,$M$2)</f>
        <v>0</v>
      </c>
      <c r="J98" s="1">
        <f>COUNTIFS(Absensi!$D96:$ND96,Rekap!J$6,Absensi!$D$2:$ND$2,$M$2)</f>
        <v>0</v>
      </c>
      <c r="K98" s="1"/>
      <c r="L98" s="1"/>
      <c r="M98" s="47">
        <f>IF($M$2="01",SUMIF(Test!$D:$D,Rekap!D98,Test!$AC:$AC),IF($M$2="02",SUMIF(Test!$D:$D,Rekap!D98,Test!$AD:$AD),IF($M$2="03",SUMIF(Test!$D:$D,Rekap!D98,Test!$AE:$AE),IF($M$2="04",SUMIF(Test!$D:$D,Rekap!D98,Test!$AF:$AF),IF($M$2="05",SUMIF(Test!$D:$D,Rekap!D98,Test!$AG:$AG),IF($M$2="06",SUMIF(Test!$D:$D,Rekap!D98,Test!$AH:$AH),IF($M$2="07",SUMIF(Test!$D:$D,Rekap!D98,Test!$AI:$AI),IF($M$2="08",SUMIF(Test!$D:$D,Rekap!D98,Test!$AJ:$AJ),IF($M$2="09",SUMIF(Test!$D:$D,Rekap!D98,Test!$AK:$AK),IF($M$2="10",SUMIF(Test!$D:$D,Rekap!D98,Test!$AL:$AL),IF($M$2="11",SUMIF(Test!$D:$D,Rekap!D98,Test!$AM:$AM),IF($M$2="12",SUMIF(Test!$D:$D,Rekap!D98,Test!$AN:$AN),0))))))))))))</f>
        <v>8</v>
      </c>
    </row>
    <row r="99" spans="1:13" ht="15" customHeight="1" x14ac:dyDescent="0.25">
      <c r="A99" s="26">
        <v>93</v>
      </c>
      <c r="B99" s="27" t="str">
        <f>Absensi!B97</f>
        <v>Reef Plus</v>
      </c>
      <c r="C99" s="27" t="str">
        <f>Absensi!C97</f>
        <v>Hadid</v>
      </c>
      <c r="D99" s="27" t="str">
        <f t="shared" si="1"/>
        <v>Reef PlusHadid</v>
      </c>
      <c r="E99" s="1">
        <f>COUNTIFS(Absensi!$D97:$ND97,Rekap!E$6,Absensi!$D$2:$ND$2,$M$2)</f>
        <v>0</v>
      </c>
      <c r="F99" s="1">
        <f>COUNTIFS(Absensi!$D97:$ND97,Rekap!F$6,Absensi!$D$2:$ND$2,$M$2)</f>
        <v>1</v>
      </c>
      <c r="G99" s="1">
        <f>COUNTIFS(Absensi!$D97:$ND97,Rekap!G$6,Absensi!$D$2:$ND$2,$M$2)</f>
        <v>0</v>
      </c>
      <c r="H99" s="1">
        <f>COUNTIFS(Absensi!$D97:$ND97,Rekap!H$6,Absensi!$D$2:$ND$2,$M$2)</f>
        <v>0</v>
      </c>
      <c r="I99" s="1">
        <f>COUNTIFS(Absensi!$D97:$ND97,Rekap!I$6,Absensi!$D$2:$ND$2,$M$2)</f>
        <v>0</v>
      </c>
      <c r="J99" s="1">
        <f>COUNTIFS(Absensi!$D97:$ND97,Rekap!J$6,Absensi!$D$2:$ND$2,$M$2)</f>
        <v>0</v>
      </c>
      <c r="K99" s="1"/>
      <c r="L99" s="1"/>
      <c r="M99" s="47">
        <f>IF($M$2="01",SUMIF(Test!$D:$D,Rekap!D99,Test!$AC:$AC),IF($M$2="02",SUMIF(Test!$D:$D,Rekap!D99,Test!$AD:$AD),IF($M$2="03",SUMIF(Test!$D:$D,Rekap!D99,Test!$AE:$AE),IF($M$2="04",SUMIF(Test!$D:$D,Rekap!D99,Test!$AF:$AF),IF($M$2="05",SUMIF(Test!$D:$D,Rekap!D99,Test!$AG:$AG),IF($M$2="06",SUMIF(Test!$D:$D,Rekap!D99,Test!$AH:$AH),IF($M$2="07",SUMIF(Test!$D:$D,Rekap!D99,Test!$AI:$AI),IF($M$2="08",SUMIF(Test!$D:$D,Rekap!D99,Test!$AJ:$AJ),IF($M$2="09",SUMIF(Test!$D:$D,Rekap!D99,Test!$AK:$AK),IF($M$2="10",SUMIF(Test!$D:$D,Rekap!D99,Test!$AL:$AL),IF($M$2="11",SUMIF(Test!$D:$D,Rekap!D99,Test!$AM:$AM),IF($M$2="12",SUMIF(Test!$D:$D,Rekap!D99,Test!$AN:$AN),0))))))))))))</f>
        <v>7</v>
      </c>
    </row>
    <row r="100" spans="1:13" ht="15" customHeight="1" x14ac:dyDescent="0.25">
      <c r="A100" s="26">
        <v>94</v>
      </c>
      <c r="B100" s="27" t="str">
        <f>Absensi!B98</f>
        <v>Reef Plus</v>
      </c>
      <c r="C100" s="27" t="str">
        <f>Absensi!C98</f>
        <v>Fuad</v>
      </c>
      <c r="D100" s="27" t="str">
        <f t="shared" si="1"/>
        <v>Reef PlusFuad</v>
      </c>
      <c r="E100" s="1">
        <f>COUNTIFS(Absensi!$D98:$ND98,Rekap!E$6,Absensi!$D$2:$ND$2,$M$2)</f>
        <v>0</v>
      </c>
      <c r="F100" s="1">
        <f>COUNTIFS(Absensi!$D98:$ND98,Rekap!F$6,Absensi!$D$2:$ND$2,$M$2)</f>
        <v>1</v>
      </c>
      <c r="G100" s="1">
        <f>COUNTIFS(Absensi!$D98:$ND98,Rekap!G$6,Absensi!$D$2:$ND$2,$M$2)</f>
        <v>0</v>
      </c>
      <c r="H100" s="1">
        <f>COUNTIFS(Absensi!$D98:$ND98,Rekap!H$6,Absensi!$D$2:$ND$2,$M$2)</f>
        <v>0</v>
      </c>
      <c r="I100" s="1">
        <f>COUNTIFS(Absensi!$D98:$ND98,Rekap!I$6,Absensi!$D$2:$ND$2,$M$2)</f>
        <v>0</v>
      </c>
      <c r="J100" s="1">
        <f>COUNTIFS(Absensi!$D98:$ND98,Rekap!J$6,Absensi!$D$2:$ND$2,$M$2)</f>
        <v>0</v>
      </c>
      <c r="K100" s="1"/>
      <c r="L100" s="1"/>
      <c r="M100" s="47">
        <f>IF($M$2="01",SUMIF(Test!$D:$D,Rekap!D100,Test!$AC:$AC),IF($M$2="02",SUMIF(Test!$D:$D,Rekap!D100,Test!$AD:$AD),IF($M$2="03",SUMIF(Test!$D:$D,Rekap!D100,Test!$AE:$AE),IF($M$2="04",SUMIF(Test!$D:$D,Rekap!D100,Test!$AF:$AF),IF($M$2="05",SUMIF(Test!$D:$D,Rekap!D100,Test!$AG:$AG),IF($M$2="06",SUMIF(Test!$D:$D,Rekap!D100,Test!$AH:$AH),IF($M$2="07",SUMIF(Test!$D:$D,Rekap!D100,Test!$AI:$AI),IF($M$2="08",SUMIF(Test!$D:$D,Rekap!D100,Test!$AJ:$AJ),IF($M$2="09",SUMIF(Test!$D:$D,Rekap!D100,Test!$AK:$AK),IF($M$2="10",SUMIF(Test!$D:$D,Rekap!D100,Test!$AL:$AL),IF($M$2="11",SUMIF(Test!$D:$D,Rekap!D100,Test!$AM:$AM),IF($M$2="12",SUMIF(Test!$D:$D,Rekap!D100,Test!$AN:$AN),0))))))))))))</f>
        <v>9</v>
      </c>
    </row>
    <row r="101" spans="1:13" ht="15" customHeight="1" x14ac:dyDescent="0.25">
      <c r="A101" s="26">
        <v>95</v>
      </c>
      <c r="B101" s="27" t="str">
        <f>Absensi!B99</f>
        <v>Reef Plus</v>
      </c>
      <c r="C101" s="27" t="str">
        <f>Absensi!C99</f>
        <v>Faisal</v>
      </c>
      <c r="D101" s="27" t="str">
        <f t="shared" si="1"/>
        <v>Reef PlusFaisal</v>
      </c>
      <c r="E101" s="1">
        <f>COUNTIFS(Absensi!$D99:$ND99,Rekap!E$6,Absensi!$D$2:$ND$2,$M$2)</f>
        <v>0</v>
      </c>
      <c r="F101" s="1">
        <f>COUNTIFS(Absensi!$D99:$ND99,Rekap!F$6,Absensi!$D$2:$ND$2,$M$2)</f>
        <v>0</v>
      </c>
      <c r="G101" s="1">
        <f>COUNTIFS(Absensi!$D99:$ND99,Rekap!G$6,Absensi!$D$2:$ND$2,$M$2)</f>
        <v>0</v>
      </c>
      <c r="H101" s="1">
        <f>COUNTIFS(Absensi!$D99:$ND99,Rekap!H$6,Absensi!$D$2:$ND$2,$M$2)</f>
        <v>0</v>
      </c>
      <c r="I101" s="1">
        <f>COUNTIFS(Absensi!$D99:$ND99,Rekap!I$6,Absensi!$D$2:$ND$2,$M$2)</f>
        <v>0</v>
      </c>
      <c r="J101" s="1">
        <f>COUNTIFS(Absensi!$D99:$ND99,Rekap!J$6,Absensi!$D$2:$ND$2,$M$2)</f>
        <v>0</v>
      </c>
      <c r="K101" s="1"/>
      <c r="L101" s="1"/>
      <c r="M101" s="47">
        <f>IF($M$2="01",SUMIF(Test!$D:$D,Rekap!D101,Test!$AC:$AC),IF($M$2="02",SUMIF(Test!$D:$D,Rekap!D101,Test!$AD:$AD),IF($M$2="03",SUMIF(Test!$D:$D,Rekap!D101,Test!$AE:$AE),IF($M$2="04",SUMIF(Test!$D:$D,Rekap!D101,Test!$AF:$AF),IF($M$2="05",SUMIF(Test!$D:$D,Rekap!D101,Test!$AG:$AG),IF($M$2="06",SUMIF(Test!$D:$D,Rekap!D101,Test!$AH:$AH),IF($M$2="07",SUMIF(Test!$D:$D,Rekap!D101,Test!$AI:$AI),IF($M$2="08",SUMIF(Test!$D:$D,Rekap!D101,Test!$AJ:$AJ),IF($M$2="09",SUMIF(Test!$D:$D,Rekap!D101,Test!$AK:$AK),IF($M$2="10",SUMIF(Test!$D:$D,Rekap!D101,Test!$AL:$AL),IF($M$2="11",SUMIF(Test!$D:$D,Rekap!D101,Test!$AM:$AM),IF($M$2="12",SUMIF(Test!$D:$D,Rekap!D101,Test!$AN:$AN),0))))))))))))</f>
        <v>0</v>
      </c>
    </row>
    <row r="102" spans="1:13" ht="15" customHeight="1" x14ac:dyDescent="0.25">
      <c r="A102" s="26">
        <v>96</v>
      </c>
      <c r="B102" s="27" t="str">
        <f>Absensi!B100</f>
        <v>Reef Plus</v>
      </c>
      <c r="C102" s="27" t="str">
        <f>Absensi!C100</f>
        <v>Ugi</v>
      </c>
      <c r="D102" s="27" t="str">
        <f t="shared" si="1"/>
        <v>Reef PlusUgi</v>
      </c>
      <c r="E102" s="1">
        <f>COUNTIFS(Absensi!$D100:$ND100,Rekap!E$6,Absensi!$D$2:$ND$2,$M$2)</f>
        <v>0</v>
      </c>
      <c r="F102" s="1">
        <f>COUNTIFS(Absensi!$D100:$ND100,Rekap!F$6,Absensi!$D$2:$ND$2,$M$2)</f>
        <v>0</v>
      </c>
      <c r="G102" s="1">
        <f>COUNTIFS(Absensi!$D100:$ND100,Rekap!G$6,Absensi!$D$2:$ND$2,$M$2)</f>
        <v>0</v>
      </c>
      <c r="H102" s="1">
        <f>COUNTIFS(Absensi!$D100:$ND100,Rekap!H$6,Absensi!$D$2:$ND$2,$M$2)</f>
        <v>0</v>
      </c>
      <c r="I102" s="1">
        <f>COUNTIFS(Absensi!$D100:$ND100,Rekap!I$6,Absensi!$D$2:$ND$2,$M$2)</f>
        <v>0</v>
      </c>
      <c r="J102" s="1">
        <f>COUNTIFS(Absensi!$D100:$ND100,Rekap!J$6,Absensi!$D$2:$ND$2,$M$2)</f>
        <v>0</v>
      </c>
      <c r="K102" s="1"/>
      <c r="L102" s="1"/>
      <c r="M102" s="47">
        <f>IF($M$2="01",SUMIF(Test!$D:$D,Rekap!D102,Test!$AC:$AC),IF($M$2="02",SUMIF(Test!$D:$D,Rekap!D102,Test!$AD:$AD),IF($M$2="03",SUMIF(Test!$D:$D,Rekap!D102,Test!$AE:$AE),IF($M$2="04",SUMIF(Test!$D:$D,Rekap!D102,Test!$AF:$AF),IF($M$2="05",SUMIF(Test!$D:$D,Rekap!D102,Test!$AG:$AG),IF($M$2="06",SUMIF(Test!$D:$D,Rekap!D102,Test!$AH:$AH),IF($M$2="07",SUMIF(Test!$D:$D,Rekap!D102,Test!$AI:$AI),IF($M$2="08",SUMIF(Test!$D:$D,Rekap!D102,Test!$AJ:$AJ),IF($M$2="09",SUMIF(Test!$D:$D,Rekap!D102,Test!$AK:$AK),IF($M$2="10",SUMIF(Test!$D:$D,Rekap!D102,Test!$AL:$AL),IF($M$2="11",SUMIF(Test!$D:$D,Rekap!D102,Test!$AM:$AM),IF($M$2="12",SUMIF(Test!$D:$D,Rekap!D102,Test!$AN:$AN),0))))))))))))</f>
        <v>10</v>
      </c>
    </row>
    <row r="103" spans="1:13" ht="15" customHeight="1" x14ac:dyDescent="0.25">
      <c r="A103" s="26">
        <v>97</v>
      </c>
      <c r="B103" s="27" t="str">
        <f>Absensi!B101</f>
        <v>Reef Plus</v>
      </c>
      <c r="C103" s="27" t="str">
        <f>Absensi!C101</f>
        <v>Nanto</v>
      </c>
      <c r="D103" s="27" t="str">
        <f t="shared" si="1"/>
        <v>Reef PlusNanto</v>
      </c>
      <c r="E103" s="1">
        <f>COUNTIFS(Absensi!$D101:$ND101,Rekap!E$6,Absensi!$D$2:$ND$2,$M$2)</f>
        <v>0</v>
      </c>
      <c r="F103" s="1">
        <f>COUNTIFS(Absensi!$D101:$ND101,Rekap!F$6,Absensi!$D$2:$ND$2,$M$2)</f>
        <v>0</v>
      </c>
      <c r="G103" s="1">
        <f>COUNTIFS(Absensi!$D101:$ND101,Rekap!G$6,Absensi!$D$2:$ND$2,$M$2)</f>
        <v>0</v>
      </c>
      <c r="H103" s="1">
        <f>COUNTIFS(Absensi!$D101:$ND101,Rekap!H$6,Absensi!$D$2:$ND$2,$M$2)</f>
        <v>0</v>
      </c>
      <c r="I103" s="1">
        <f>COUNTIFS(Absensi!$D101:$ND101,Rekap!I$6,Absensi!$D$2:$ND$2,$M$2)</f>
        <v>0</v>
      </c>
      <c r="J103" s="1">
        <f>COUNTIFS(Absensi!$D101:$ND101,Rekap!J$6,Absensi!$D$2:$ND$2,$M$2)</f>
        <v>0</v>
      </c>
      <c r="K103" s="1"/>
      <c r="L103" s="1"/>
      <c r="M103" s="47">
        <f>IF($M$2="01",SUMIF(Test!$D:$D,Rekap!D103,Test!$AC:$AC),IF($M$2="02",SUMIF(Test!$D:$D,Rekap!D103,Test!$AD:$AD),IF($M$2="03",SUMIF(Test!$D:$D,Rekap!D103,Test!$AE:$AE),IF($M$2="04",SUMIF(Test!$D:$D,Rekap!D103,Test!$AF:$AF),IF($M$2="05",SUMIF(Test!$D:$D,Rekap!D103,Test!$AG:$AG),IF($M$2="06",SUMIF(Test!$D:$D,Rekap!D103,Test!$AH:$AH),IF($M$2="07",SUMIF(Test!$D:$D,Rekap!D103,Test!$AI:$AI),IF($M$2="08",SUMIF(Test!$D:$D,Rekap!D103,Test!$AJ:$AJ),IF($M$2="09",SUMIF(Test!$D:$D,Rekap!D103,Test!$AK:$AK),IF($M$2="10",SUMIF(Test!$D:$D,Rekap!D103,Test!$AL:$AL),IF($M$2="11",SUMIF(Test!$D:$D,Rekap!D103,Test!$AM:$AM),IF($M$2="12",SUMIF(Test!$D:$D,Rekap!D103,Test!$AN:$AN),0))))))))))))</f>
        <v>-2</v>
      </c>
    </row>
    <row r="104" spans="1:13" ht="15" customHeight="1" x14ac:dyDescent="0.25">
      <c r="A104" s="26">
        <v>98</v>
      </c>
      <c r="B104" s="27" t="str">
        <f>Absensi!B102</f>
        <v>Reef Plus</v>
      </c>
      <c r="C104" s="27" t="str">
        <f>Absensi!C102</f>
        <v>Ibnu</v>
      </c>
      <c r="D104" s="27" t="str">
        <f t="shared" si="1"/>
        <v>Reef PlusIbnu</v>
      </c>
      <c r="E104" s="1">
        <f>COUNTIFS(Absensi!$D102:$ND102,Rekap!E$6,Absensi!$D$2:$ND$2,$M$2)</f>
        <v>0</v>
      </c>
      <c r="F104" s="1">
        <f>COUNTIFS(Absensi!$D102:$ND102,Rekap!F$6,Absensi!$D$2:$ND$2,$M$2)</f>
        <v>0</v>
      </c>
      <c r="G104" s="1">
        <f>COUNTIFS(Absensi!$D102:$ND102,Rekap!G$6,Absensi!$D$2:$ND$2,$M$2)</f>
        <v>0</v>
      </c>
      <c r="H104" s="1">
        <f>COUNTIFS(Absensi!$D102:$ND102,Rekap!H$6,Absensi!$D$2:$ND$2,$M$2)</f>
        <v>0</v>
      </c>
      <c r="I104" s="1">
        <f>COUNTIFS(Absensi!$D102:$ND102,Rekap!I$6,Absensi!$D$2:$ND$2,$M$2)</f>
        <v>0</v>
      </c>
      <c r="J104" s="1">
        <f>COUNTIFS(Absensi!$D102:$ND102,Rekap!J$6,Absensi!$D$2:$ND$2,$M$2)</f>
        <v>0</v>
      </c>
      <c r="K104" s="1"/>
      <c r="L104" s="1"/>
      <c r="M104" s="47">
        <f>IF($M$2="01",SUMIF(Test!$D:$D,Rekap!D104,Test!$AC:$AC),IF($M$2="02",SUMIF(Test!$D:$D,Rekap!D104,Test!$AD:$AD),IF($M$2="03",SUMIF(Test!$D:$D,Rekap!D104,Test!$AE:$AE),IF($M$2="04",SUMIF(Test!$D:$D,Rekap!D104,Test!$AF:$AF),IF($M$2="05",SUMIF(Test!$D:$D,Rekap!D104,Test!$AG:$AG),IF($M$2="06",SUMIF(Test!$D:$D,Rekap!D104,Test!$AH:$AH),IF($M$2="07",SUMIF(Test!$D:$D,Rekap!D104,Test!$AI:$AI),IF($M$2="08",SUMIF(Test!$D:$D,Rekap!D104,Test!$AJ:$AJ),IF($M$2="09",SUMIF(Test!$D:$D,Rekap!D104,Test!$AK:$AK),IF($M$2="10",SUMIF(Test!$D:$D,Rekap!D104,Test!$AL:$AL),IF($M$2="11",SUMIF(Test!$D:$D,Rekap!D104,Test!$AM:$AM),IF($M$2="12",SUMIF(Test!$D:$D,Rekap!D104,Test!$AN:$AN),0))))))))))))</f>
        <v>4</v>
      </c>
    </row>
    <row r="105" spans="1:13" ht="15" customHeight="1" x14ac:dyDescent="0.25">
      <c r="A105" s="26">
        <v>99</v>
      </c>
      <c r="B105" s="27" t="str">
        <f>Absensi!B103</f>
        <v>Reef Plus</v>
      </c>
      <c r="C105" s="27" t="str">
        <f>Absensi!C103</f>
        <v>Gilang</v>
      </c>
      <c r="D105" s="27" t="str">
        <f t="shared" si="1"/>
        <v>Reef PlusGilang</v>
      </c>
      <c r="E105" s="1">
        <f>COUNTIFS(Absensi!$D103:$ND103,Rekap!E$6,Absensi!$D$2:$ND$2,$M$2)</f>
        <v>0</v>
      </c>
      <c r="F105" s="1">
        <f>COUNTIFS(Absensi!$D103:$ND103,Rekap!F$6,Absensi!$D$2:$ND$2,$M$2)</f>
        <v>0</v>
      </c>
      <c r="G105" s="1">
        <f>COUNTIFS(Absensi!$D103:$ND103,Rekap!G$6,Absensi!$D$2:$ND$2,$M$2)</f>
        <v>0</v>
      </c>
      <c r="H105" s="1">
        <f>COUNTIFS(Absensi!$D103:$ND103,Rekap!H$6,Absensi!$D$2:$ND$2,$M$2)</f>
        <v>0</v>
      </c>
      <c r="I105" s="1">
        <f>COUNTIFS(Absensi!$D103:$ND103,Rekap!I$6,Absensi!$D$2:$ND$2,$M$2)</f>
        <v>0</v>
      </c>
      <c r="J105" s="1">
        <f>COUNTIFS(Absensi!$D103:$ND103,Rekap!J$6,Absensi!$D$2:$ND$2,$M$2)</f>
        <v>0</v>
      </c>
      <c r="K105" s="1"/>
      <c r="L105" s="1"/>
      <c r="M105" s="47">
        <f>IF($M$2="01",SUMIF(Test!$D:$D,Rekap!D105,Test!$AC:$AC),IF($M$2="02",SUMIF(Test!$D:$D,Rekap!D105,Test!$AD:$AD),IF($M$2="03",SUMIF(Test!$D:$D,Rekap!D105,Test!$AE:$AE),IF($M$2="04",SUMIF(Test!$D:$D,Rekap!D105,Test!$AF:$AF),IF($M$2="05",SUMIF(Test!$D:$D,Rekap!D105,Test!$AG:$AG),IF($M$2="06",SUMIF(Test!$D:$D,Rekap!D105,Test!$AH:$AH),IF($M$2="07",SUMIF(Test!$D:$D,Rekap!D105,Test!$AI:$AI),IF($M$2="08",SUMIF(Test!$D:$D,Rekap!D105,Test!$AJ:$AJ),IF($M$2="09",SUMIF(Test!$D:$D,Rekap!D105,Test!$AK:$AK),IF($M$2="10",SUMIF(Test!$D:$D,Rekap!D105,Test!$AL:$AL),IF($M$2="11",SUMIF(Test!$D:$D,Rekap!D105,Test!$AM:$AM),IF($M$2="12",SUMIF(Test!$D:$D,Rekap!D105,Test!$AN:$AN),0))))))))))))</f>
        <v>0</v>
      </c>
    </row>
    <row r="106" spans="1:13" ht="15" customHeight="1" x14ac:dyDescent="0.25">
      <c r="A106" s="26">
        <v>100</v>
      </c>
      <c r="B106" s="27" t="str">
        <f>Absensi!B104</f>
        <v>Reef Plus</v>
      </c>
      <c r="C106" s="27" t="str">
        <f>Absensi!C104</f>
        <v>Fajar</v>
      </c>
      <c r="D106" s="27" t="str">
        <f t="shared" si="1"/>
        <v>Reef PlusFajar</v>
      </c>
      <c r="E106" s="1">
        <f>COUNTIFS(Absensi!$D104:$ND104,Rekap!E$6,Absensi!$D$2:$ND$2,$M$2)</f>
        <v>0</v>
      </c>
      <c r="F106" s="1">
        <f>COUNTIFS(Absensi!$D104:$ND104,Rekap!F$6,Absensi!$D$2:$ND$2,$M$2)</f>
        <v>0</v>
      </c>
      <c r="G106" s="1">
        <f>COUNTIFS(Absensi!$D104:$ND104,Rekap!G$6,Absensi!$D$2:$ND$2,$M$2)</f>
        <v>0</v>
      </c>
      <c r="H106" s="1">
        <f>COUNTIFS(Absensi!$D104:$ND104,Rekap!H$6,Absensi!$D$2:$ND$2,$M$2)</f>
        <v>0</v>
      </c>
      <c r="I106" s="1">
        <f>COUNTIFS(Absensi!$D104:$ND104,Rekap!I$6,Absensi!$D$2:$ND$2,$M$2)</f>
        <v>0</v>
      </c>
      <c r="J106" s="1">
        <f>COUNTIFS(Absensi!$D104:$ND104,Rekap!J$6,Absensi!$D$2:$ND$2,$M$2)</f>
        <v>0</v>
      </c>
      <c r="K106" s="1"/>
      <c r="L106" s="1"/>
      <c r="M106" s="47">
        <f>IF($M$2="01",SUMIF(Test!$D:$D,Rekap!D106,Test!$AC:$AC),IF($M$2="02",SUMIF(Test!$D:$D,Rekap!D106,Test!$AD:$AD),IF($M$2="03",SUMIF(Test!$D:$D,Rekap!D106,Test!$AE:$AE),IF($M$2="04",SUMIF(Test!$D:$D,Rekap!D106,Test!$AF:$AF),IF($M$2="05",SUMIF(Test!$D:$D,Rekap!D106,Test!$AG:$AG),IF($M$2="06",SUMIF(Test!$D:$D,Rekap!D106,Test!$AH:$AH),IF($M$2="07",SUMIF(Test!$D:$D,Rekap!D106,Test!$AI:$AI),IF($M$2="08",SUMIF(Test!$D:$D,Rekap!D106,Test!$AJ:$AJ),IF($M$2="09",SUMIF(Test!$D:$D,Rekap!D106,Test!$AK:$AK),IF($M$2="10",SUMIF(Test!$D:$D,Rekap!D106,Test!$AL:$AL),IF($M$2="11",SUMIF(Test!$D:$D,Rekap!D106,Test!$AM:$AM),IF($M$2="12",SUMIF(Test!$D:$D,Rekap!D106,Test!$AN:$AN),0))))))))))))</f>
        <v>-3</v>
      </c>
    </row>
    <row r="107" spans="1:13" ht="15" customHeight="1" x14ac:dyDescent="0.25">
      <c r="A107" s="26">
        <v>101</v>
      </c>
      <c r="B107" s="27" t="str">
        <f>Absensi!B105</f>
        <v>Reef Plus</v>
      </c>
      <c r="C107" s="27" t="str">
        <f>Absensi!C105</f>
        <v>Indra</v>
      </c>
      <c r="D107" s="27" t="str">
        <f t="shared" si="1"/>
        <v>Reef PlusIndra</v>
      </c>
      <c r="E107" s="1">
        <f>COUNTIFS(Absensi!$D105:$ND105,Rekap!E$6,Absensi!$D$2:$ND$2,$M$2)</f>
        <v>0</v>
      </c>
      <c r="F107" s="1">
        <f>COUNTIFS(Absensi!$D105:$ND105,Rekap!F$6,Absensi!$D$2:$ND$2,$M$2)</f>
        <v>1</v>
      </c>
      <c r="G107" s="1">
        <f>COUNTIFS(Absensi!$D105:$ND105,Rekap!G$6,Absensi!$D$2:$ND$2,$M$2)</f>
        <v>0</v>
      </c>
      <c r="H107" s="1">
        <f>COUNTIFS(Absensi!$D105:$ND105,Rekap!H$6,Absensi!$D$2:$ND$2,$M$2)</f>
        <v>0</v>
      </c>
      <c r="I107" s="1">
        <f>COUNTIFS(Absensi!$D105:$ND105,Rekap!I$6,Absensi!$D$2:$ND$2,$M$2)</f>
        <v>0</v>
      </c>
      <c r="J107" s="1">
        <f>COUNTIFS(Absensi!$D105:$ND105,Rekap!J$6,Absensi!$D$2:$ND$2,$M$2)</f>
        <v>0</v>
      </c>
      <c r="K107" s="1"/>
      <c r="L107" s="1"/>
      <c r="M107" s="47">
        <f>IF($M$2="01",SUMIF(Test!$D:$D,Rekap!D107,Test!$AC:$AC),IF($M$2="02",SUMIF(Test!$D:$D,Rekap!D107,Test!$AD:$AD),IF($M$2="03",SUMIF(Test!$D:$D,Rekap!D107,Test!$AE:$AE),IF($M$2="04",SUMIF(Test!$D:$D,Rekap!D107,Test!$AF:$AF),IF($M$2="05",SUMIF(Test!$D:$D,Rekap!D107,Test!$AG:$AG),IF($M$2="06",SUMIF(Test!$D:$D,Rekap!D107,Test!$AH:$AH),IF($M$2="07",SUMIF(Test!$D:$D,Rekap!D107,Test!$AI:$AI),IF($M$2="08",SUMIF(Test!$D:$D,Rekap!D107,Test!$AJ:$AJ),IF($M$2="09",SUMIF(Test!$D:$D,Rekap!D107,Test!$AK:$AK),IF($M$2="10",SUMIF(Test!$D:$D,Rekap!D107,Test!$AL:$AL),IF($M$2="11",SUMIF(Test!$D:$D,Rekap!D107,Test!$AM:$AM),IF($M$2="12",SUMIF(Test!$D:$D,Rekap!D107,Test!$AN:$AN),0))))))))))))</f>
        <v>-6</v>
      </c>
    </row>
    <row r="108" spans="1:13" ht="15" customHeight="1" x14ac:dyDescent="0.25">
      <c r="A108" s="26">
        <v>102</v>
      </c>
      <c r="B108" s="27" t="str">
        <f>Absensi!B106</f>
        <v>Reef Plus</v>
      </c>
      <c r="C108" s="27" t="s">
        <v>202</v>
      </c>
      <c r="D108" s="27" t="str">
        <f t="shared" si="1"/>
        <v>Reef PlusAgus</v>
      </c>
      <c r="E108" s="1">
        <f>COUNTIFS(Absensi!$D106:$ND106,Rekap!E$6,Absensi!$D$2:$ND$2,$M$2)</f>
        <v>0</v>
      </c>
      <c r="F108" s="1">
        <f>COUNTIFS(Absensi!$D106:$ND106,Rekap!F$6,Absensi!$D$2:$ND$2,$M$2)</f>
        <v>0</v>
      </c>
      <c r="G108" s="1">
        <f>COUNTIFS(Absensi!$D106:$ND106,Rekap!G$6,Absensi!$D$2:$ND$2,$M$2)</f>
        <v>0</v>
      </c>
      <c r="H108" s="1">
        <f>COUNTIFS(Absensi!$D106:$ND106,Rekap!H$6,Absensi!$D$2:$ND$2,$M$2)</f>
        <v>0</v>
      </c>
      <c r="I108" s="1">
        <f>COUNTIFS(Absensi!$D106:$ND106,Rekap!I$6,Absensi!$D$2:$ND$2,$M$2)</f>
        <v>0</v>
      </c>
      <c r="J108" s="1">
        <f>COUNTIFS(Absensi!$D106:$ND106,Rekap!J$6,Absensi!$D$2:$ND$2,$M$2)</f>
        <v>0</v>
      </c>
      <c r="K108" s="1"/>
      <c r="L108" s="1"/>
      <c r="M108" s="47">
        <f>IF($M$2="01",SUMIF(Test!$D:$D,Rekap!D108,Test!$AC:$AC),IF($M$2="02",SUMIF(Test!$D:$D,Rekap!D108,Test!$AD:$AD),IF($M$2="03",SUMIF(Test!$D:$D,Rekap!D108,Test!$AE:$AE),IF($M$2="04",SUMIF(Test!$D:$D,Rekap!D108,Test!$AF:$AF),IF($M$2="05",SUMIF(Test!$D:$D,Rekap!D108,Test!$AG:$AG),IF($M$2="06",SUMIF(Test!$D:$D,Rekap!D108,Test!$AH:$AH),IF($M$2="07",SUMIF(Test!$D:$D,Rekap!D108,Test!$AI:$AI),IF($M$2="08",SUMIF(Test!$D:$D,Rekap!D108,Test!$AJ:$AJ),IF($M$2="09",SUMIF(Test!$D:$D,Rekap!D108,Test!$AK:$AK),IF($M$2="10",SUMIF(Test!$D:$D,Rekap!D108,Test!$AL:$AL),IF($M$2="11",SUMIF(Test!$D:$D,Rekap!D108,Test!$AM:$AM),IF($M$2="12",SUMIF(Test!$D:$D,Rekap!D108,Test!$AN:$AN),0))))))))))))</f>
        <v>0</v>
      </c>
    </row>
    <row r="109" spans="1:13" ht="15" customHeight="1" x14ac:dyDescent="0.25">
      <c r="A109" s="26">
        <v>103</v>
      </c>
      <c r="B109" s="27" t="str">
        <f>Absensi!B107</f>
        <v>Kebayoran Lama</v>
      </c>
      <c r="C109" s="27" t="str">
        <f>Absensi!C107</f>
        <v>Edi Kuswanto</v>
      </c>
      <c r="D109" s="27" t="str">
        <f t="shared" si="1"/>
        <v>Kebayoran LamaEdi Kuswanto</v>
      </c>
      <c r="E109" s="1">
        <f>COUNTIFS(Absensi!$D107:$ND107,Rekap!E$6,Absensi!$D$2:$ND$2,$M$2)</f>
        <v>0</v>
      </c>
      <c r="F109" s="1">
        <f>COUNTIFS(Absensi!$D107:$ND107,Rekap!F$6,Absensi!$D$2:$ND$2,$M$2)</f>
        <v>0</v>
      </c>
      <c r="G109" s="1">
        <f>COUNTIFS(Absensi!$D107:$ND107,Rekap!G$6,Absensi!$D$2:$ND$2,$M$2)</f>
        <v>0</v>
      </c>
      <c r="H109" s="1">
        <f>COUNTIFS(Absensi!$D107:$ND107,Rekap!H$6,Absensi!$D$2:$ND$2,$M$2)</f>
        <v>0</v>
      </c>
      <c r="I109" s="1">
        <f>COUNTIFS(Absensi!$D107:$ND107,Rekap!I$6,Absensi!$D$2:$ND$2,$M$2)</f>
        <v>0</v>
      </c>
      <c r="J109" s="1">
        <f>COUNTIFS(Absensi!$D107:$ND107,Rekap!J$6,Absensi!$D$2:$ND$2,$M$2)</f>
        <v>0</v>
      </c>
      <c r="K109" s="1"/>
      <c r="L109" s="1"/>
      <c r="M109" s="47">
        <f>IF($M$2="01",SUMIF(Test!$D:$D,Rekap!D109,Test!$AC:$AC),IF($M$2="02",SUMIF(Test!$D:$D,Rekap!D109,Test!$AD:$AD),IF($M$2="03",SUMIF(Test!$D:$D,Rekap!D109,Test!$AE:$AE),IF($M$2="04",SUMIF(Test!$D:$D,Rekap!D109,Test!$AF:$AF),IF($M$2="05",SUMIF(Test!$D:$D,Rekap!D109,Test!$AG:$AG),IF($M$2="06",SUMIF(Test!$D:$D,Rekap!D109,Test!$AH:$AH),IF($M$2="07",SUMIF(Test!$D:$D,Rekap!D109,Test!$AI:$AI),IF($M$2="08",SUMIF(Test!$D:$D,Rekap!D109,Test!$AJ:$AJ),IF($M$2="09",SUMIF(Test!$D:$D,Rekap!D109,Test!$AK:$AK),IF($M$2="10",SUMIF(Test!$D:$D,Rekap!D109,Test!$AL:$AL),IF($M$2="11",SUMIF(Test!$D:$D,Rekap!D109,Test!$AM:$AM),IF($M$2="12",SUMIF(Test!$D:$D,Rekap!D109,Test!$AN:$AN),0))))))))))))</f>
        <v>12</v>
      </c>
    </row>
    <row r="110" spans="1:13" ht="15" customHeight="1" x14ac:dyDescent="0.25">
      <c r="A110" s="26">
        <v>104</v>
      </c>
      <c r="B110" s="27" t="str">
        <f>Absensi!B108</f>
        <v>Kebayoran Lama</v>
      </c>
      <c r="C110" s="27" t="str">
        <f>Absensi!C108</f>
        <v>Iwan hendrawan</v>
      </c>
      <c r="D110" s="27" t="str">
        <f t="shared" si="1"/>
        <v>Kebayoran LamaIwan hendrawan</v>
      </c>
      <c r="E110" s="1">
        <f>COUNTIFS(Absensi!$D108:$ND108,Rekap!E$6,Absensi!$D$2:$ND$2,$M$2)</f>
        <v>0</v>
      </c>
      <c r="F110" s="1">
        <f>COUNTIFS(Absensi!$D108:$ND108,Rekap!F$6,Absensi!$D$2:$ND$2,$M$2)</f>
        <v>0</v>
      </c>
      <c r="G110" s="1">
        <f>COUNTIFS(Absensi!$D108:$ND108,Rekap!G$6,Absensi!$D$2:$ND$2,$M$2)</f>
        <v>0</v>
      </c>
      <c r="H110" s="1">
        <f>COUNTIFS(Absensi!$D108:$ND108,Rekap!H$6,Absensi!$D$2:$ND$2,$M$2)</f>
        <v>0</v>
      </c>
      <c r="I110" s="1">
        <f>COUNTIFS(Absensi!$D108:$ND108,Rekap!I$6,Absensi!$D$2:$ND$2,$M$2)</f>
        <v>0</v>
      </c>
      <c r="J110" s="1">
        <f>COUNTIFS(Absensi!$D108:$ND108,Rekap!J$6,Absensi!$D$2:$ND$2,$M$2)</f>
        <v>0</v>
      </c>
      <c r="K110" s="1"/>
      <c r="L110" s="1"/>
      <c r="M110" s="47">
        <f>IF($M$2="01",SUMIF(Test!$D:$D,Rekap!D110,Test!$AC:$AC),IF($M$2="02",SUMIF(Test!$D:$D,Rekap!D110,Test!$AD:$AD),IF($M$2="03",SUMIF(Test!$D:$D,Rekap!D110,Test!$AE:$AE),IF($M$2="04",SUMIF(Test!$D:$D,Rekap!D110,Test!$AF:$AF),IF($M$2="05",SUMIF(Test!$D:$D,Rekap!D110,Test!$AG:$AG),IF($M$2="06",SUMIF(Test!$D:$D,Rekap!D110,Test!$AH:$AH),IF($M$2="07",SUMIF(Test!$D:$D,Rekap!D110,Test!$AI:$AI),IF($M$2="08",SUMIF(Test!$D:$D,Rekap!D110,Test!$AJ:$AJ),IF($M$2="09",SUMIF(Test!$D:$D,Rekap!D110,Test!$AK:$AK),IF($M$2="10",SUMIF(Test!$D:$D,Rekap!D110,Test!$AL:$AL),IF($M$2="11",SUMIF(Test!$D:$D,Rekap!D110,Test!$AM:$AM),IF($M$2="12",SUMIF(Test!$D:$D,Rekap!D110,Test!$AN:$AN),0))))))))))))</f>
        <v>9</v>
      </c>
    </row>
    <row r="111" spans="1:13" ht="15" customHeight="1" x14ac:dyDescent="0.25">
      <c r="A111" s="26">
        <v>105</v>
      </c>
      <c r="B111" s="27" t="str">
        <f>Absensi!B109</f>
        <v>Kebayoran Lama</v>
      </c>
      <c r="C111" s="27" t="str">
        <f>Absensi!C109</f>
        <v>Tri saraswati</v>
      </c>
      <c r="D111" s="27" t="str">
        <f t="shared" si="1"/>
        <v>Kebayoran LamaTri saraswati</v>
      </c>
      <c r="E111" s="1">
        <f>COUNTIFS(Absensi!$D109:$ND109,Rekap!E$6,Absensi!$D$2:$ND$2,$M$2)</f>
        <v>0</v>
      </c>
      <c r="F111" s="1">
        <f>COUNTIFS(Absensi!$D109:$ND109,Rekap!F$6,Absensi!$D$2:$ND$2,$M$2)</f>
        <v>0</v>
      </c>
      <c r="G111" s="1">
        <f>COUNTIFS(Absensi!$D109:$ND109,Rekap!G$6,Absensi!$D$2:$ND$2,$M$2)</f>
        <v>0</v>
      </c>
      <c r="H111" s="1">
        <f>COUNTIFS(Absensi!$D109:$ND109,Rekap!H$6,Absensi!$D$2:$ND$2,$M$2)</f>
        <v>0</v>
      </c>
      <c r="I111" s="1">
        <f>COUNTIFS(Absensi!$D109:$ND109,Rekap!I$6,Absensi!$D$2:$ND$2,$M$2)</f>
        <v>0</v>
      </c>
      <c r="J111" s="1">
        <f>COUNTIFS(Absensi!$D109:$ND109,Rekap!J$6,Absensi!$D$2:$ND$2,$M$2)</f>
        <v>0</v>
      </c>
      <c r="K111" s="1"/>
      <c r="L111" s="1"/>
      <c r="M111" s="47">
        <f>IF($M$2="01",SUMIF(Test!$D:$D,Rekap!D111,Test!$AC:$AC),IF($M$2="02",SUMIF(Test!$D:$D,Rekap!D111,Test!$AD:$AD),IF($M$2="03",SUMIF(Test!$D:$D,Rekap!D111,Test!$AE:$AE),IF($M$2="04",SUMIF(Test!$D:$D,Rekap!D111,Test!$AF:$AF),IF($M$2="05",SUMIF(Test!$D:$D,Rekap!D111,Test!$AG:$AG),IF($M$2="06",SUMIF(Test!$D:$D,Rekap!D111,Test!$AH:$AH),IF($M$2="07",SUMIF(Test!$D:$D,Rekap!D111,Test!$AI:$AI),IF($M$2="08",SUMIF(Test!$D:$D,Rekap!D111,Test!$AJ:$AJ),IF($M$2="09",SUMIF(Test!$D:$D,Rekap!D111,Test!$AK:$AK),IF($M$2="10",SUMIF(Test!$D:$D,Rekap!D111,Test!$AL:$AL),IF($M$2="11",SUMIF(Test!$D:$D,Rekap!D111,Test!$AM:$AM),IF($M$2="12",SUMIF(Test!$D:$D,Rekap!D111,Test!$AN:$AN),0))))))))))))</f>
        <v>9.5</v>
      </c>
    </row>
    <row r="112" spans="1:13" ht="15" customHeight="1" x14ac:dyDescent="0.25">
      <c r="A112" s="26">
        <v>106</v>
      </c>
      <c r="B112" s="27" t="str">
        <f>Absensi!B110</f>
        <v>Kebayoran Lama</v>
      </c>
      <c r="C112" s="27" t="str">
        <f>Absensi!C110</f>
        <v>Realita riandy</v>
      </c>
      <c r="D112" s="27" t="str">
        <f t="shared" si="1"/>
        <v>Kebayoran LamaRealita riandy</v>
      </c>
      <c r="E112" s="1">
        <f>COUNTIFS(Absensi!$D110:$ND110,Rekap!E$6,Absensi!$D$2:$ND$2,$M$2)</f>
        <v>0</v>
      </c>
      <c r="F112" s="1">
        <f>COUNTIFS(Absensi!$D110:$ND110,Rekap!F$6,Absensi!$D$2:$ND$2,$M$2)</f>
        <v>1</v>
      </c>
      <c r="G112" s="1">
        <f>COUNTIFS(Absensi!$D110:$ND110,Rekap!G$6,Absensi!$D$2:$ND$2,$M$2)</f>
        <v>0</v>
      </c>
      <c r="H112" s="1">
        <f>COUNTIFS(Absensi!$D110:$ND110,Rekap!H$6,Absensi!$D$2:$ND$2,$M$2)</f>
        <v>0</v>
      </c>
      <c r="I112" s="1">
        <f>COUNTIFS(Absensi!$D110:$ND110,Rekap!I$6,Absensi!$D$2:$ND$2,$M$2)</f>
        <v>0</v>
      </c>
      <c r="J112" s="1">
        <f>COUNTIFS(Absensi!$D110:$ND110,Rekap!J$6,Absensi!$D$2:$ND$2,$M$2)</f>
        <v>0</v>
      </c>
      <c r="K112" s="1"/>
      <c r="L112" s="1"/>
      <c r="M112" s="47">
        <f>IF($M$2="01",SUMIF(Test!$D:$D,Rekap!D112,Test!$AC:$AC),IF($M$2="02",SUMIF(Test!$D:$D,Rekap!D112,Test!$AD:$AD),IF($M$2="03",SUMIF(Test!$D:$D,Rekap!D112,Test!$AE:$AE),IF($M$2="04",SUMIF(Test!$D:$D,Rekap!D112,Test!$AF:$AF),IF($M$2="05",SUMIF(Test!$D:$D,Rekap!D112,Test!$AG:$AG),IF($M$2="06",SUMIF(Test!$D:$D,Rekap!D112,Test!$AH:$AH),IF($M$2="07",SUMIF(Test!$D:$D,Rekap!D112,Test!$AI:$AI),IF($M$2="08",SUMIF(Test!$D:$D,Rekap!D112,Test!$AJ:$AJ),IF($M$2="09",SUMIF(Test!$D:$D,Rekap!D112,Test!$AK:$AK),IF($M$2="10",SUMIF(Test!$D:$D,Rekap!D112,Test!$AL:$AL),IF($M$2="11",SUMIF(Test!$D:$D,Rekap!D112,Test!$AM:$AM),IF($M$2="12",SUMIF(Test!$D:$D,Rekap!D112,Test!$AN:$AN),0))))))))))))</f>
        <v>4</v>
      </c>
    </row>
    <row r="113" spans="1:13" ht="15" customHeight="1" x14ac:dyDescent="0.25">
      <c r="A113" s="26">
        <v>107</v>
      </c>
      <c r="B113" s="27" t="str">
        <f>Absensi!B111</f>
        <v>Fishroom</v>
      </c>
      <c r="C113" s="27" t="str">
        <f>Absensi!C111</f>
        <v>Supandi</v>
      </c>
      <c r="D113" s="27" t="str">
        <f t="shared" si="1"/>
        <v>FishroomSupandi</v>
      </c>
      <c r="E113" s="1">
        <f>COUNTIFS(Absensi!$D111:$ND111,Rekap!E$6,Absensi!$D$2:$ND$2,$M$2)</f>
        <v>0</v>
      </c>
      <c r="F113" s="1">
        <f>COUNTIFS(Absensi!$D111:$ND111,Rekap!F$6,Absensi!$D$2:$ND$2,$M$2)</f>
        <v>0</v>
      </c>
      <c r="G113" s="1">
        <f>COUNTIFS(Absensi!$D111:$ND111,Rekap!G$6,Absensi!$D$2:$ND$2,$M$2)</f>
        <v>0</v>
      </c>
      <c r="H113" s="1">
        <f>COUNTIFS(Absensi!$D111:$ND111,Rekap!H$6,Absensi!$D$2:$ND$2,$M$2)</f>
        <v>0</v>
      </c>
      <c r="I113" s="1">
        <f>COUNTIFS(Absensi!$D111:$ND111,Rekap!I$6,Absensi!$D$2:$ND$2,$M$2)</f>
        <v>0</v>
      </c>
      <c r="J113" s="1">
        <f>COUNTIFS(Absensi!$D111:$ND111,Rekap!J$6,Absensi!$D$2:$ND$2,$M$2)</f>
        <v>0</v>
      </c>
      <c r="K113" s="1"/>
      <c r="L113" s="1"/>
      <c r="M113" s="47">
        <f>IF($M$2="01",SUMIF(Test!$D:$D,Rekap!D113,Test!$AC:$AC),IF($M$2="02",SUMIF(Test!$D:$D,Rekap!D113,Test!$AD:$AD),IF($M$2="03",SUMIF(Test!$D:$D,Rekap!D113,Test!$AE:$AE),IF($M$2="04",SUMIF(Test!$D:$D,Rekap!D113,Test!$AF:$AF),IF($M$2="05",SUMIF(Test!$D:$D,Rekap!D113,Test!$AG:$AG),IF($M$2="06",SUMIF(Test!$D:$D,Rekap!D113,Test!$AH:$AH),IF($M$2="07",SUMIF(Test!$D:$D,Rekap!D113,Test!$AI:$AI),IF($M$2="08",SUMIF(Test!$D:$D,Rekap!D113,Test!$AJ:$AJ),IF($M$2="09",SUMIF(Test!$D:$D,Rekap!D113,Test!$AK:$AK),IF($M$2="10",SUMIF(Test!$D:$D,Rekap!D113,Test!$AL:$AL),IF($M$2="11",SUMIF(Test!$D:$D,Rekap!D113,Test!$AM:$AM),IF($M$2="12",SUMIF(Test!$D:$D,Rekap!D113,Test!$AN:$AN),0))))))))))))</f>
        <v>-15</v>
      </c>
    </row>
    <row r="114" spans="1:13" ht="15" customHeight="1" x14ac:dyDescent="0.25">
      <c r="A114" s="26">
        <v>108</v>
      </c>
      <c r="B114" s="27" t="str">
        <f>Absensi!B112</f>
        <v>Kebayoran Lama</v>
      </c>
      <c r="C114" s="27" t="str">
        <f>Absensi!C112</f>
        <v>Dedi Cahyanto</v>
      </c>
      <c r="D114" s="27" t="str">
        <f t="shared" si="1"/>
        <v>Kebayoran LamaDedi Cahyanto</v>
      </c>
      <c r="E114" s="1">
        <f>COUNTIFS(Absensi!$D112:$ND112,Rekap!E$6,Absensi!$D$2:$ND$2,$M$2)</f>
        <v>0</v>
      </c>
      <c r="F114" s="1">
        <f>COUNTIFS(Absensi!$D112:$ND112,Rekap!F$6,Absensi!$D$2:$ND$2,$M$2)</f>
        <v>0</v>
      </c>
      <c r="G114" s="1">
        <f>COUNTIFS(Absensi!$D112:$ND112,Rekap!G$6,Absensi!$D$2:$ND$2,$M$2)</f>
        <v>0</v>
      </c>
      <c r="H114" s="1">
        <f>COUNTIFS(Absensi!$D112:$ND112,Rekap!H$6,Absensi!$D$2:$ND$2,$M$2)</f>
        <v>0</v>
      </c>
      <c r="I114" s="1">
        <f>COUNTIFS(Absensi!$D112:$ND112,Rekap!I$6,Absensi!$D$2:$ND$2,$M$2)</f>
        <v>0</v>
      </c>
      <c r="J114" s="1">
        <f>COUNTIFS(Absensi!$D112:$ND112,Rekap!J$6,Absensi!$D$2:$ND$2,$M$2)</f>
        <v>0</v>
      </c>
      <c r="K114" s="1"/>
      <c r="L114" s="1"/>
      <c r="M114" s="47">
        <f>IF($M$2="01",SUMIF(Test!$D:$D,Rekap!D114,Test!$AC:$AC),IF($M$2="02",SUMIF(Test!$D:$D,Rekap!D114,Test!$AD:$AD),IF($M$2="03",SUMIF(Test!$D:$D,Rekap!D114,Test!$AE:$AE),IF($M$2="04",SUMIF(Test!$D:$D,Rekap!D114,Test!$AF:$AF),IF($M$2="05",SUMIF(Test!$D:$D,Rekap!D114,Test!$AG:$AG),IF($M$2="06",SUMIF(Test!$D:$D,Rekap!D114,Test!$AH:$AH),IF($M$2="07",SUMIF(Test!$D:$D,Rekap!D114,Test!$AI:$AI),IF($M$2="08",SUMIF(Test!$D:$D,Rekap!D114,Test!$AJ:$AJ),IF($M$2="09",SUMIF(Test!$D:$D,Rekap!D114,Test!$AK:$AK),IF($M$2="10",SUMIF(Test!$D:$D,Rekap!D114,Test!$AL:$AL),IF($M$2="11",SUMIF(Test!$D:$D,Rekap!D114,Test!$AM:$AM),IF($M$2="12",SUMIF(Test!$D:$D,Rekap!D114,Test!$AN:$AN),0))))))))))))</f>
        <v>8</v>
      </c>
    </row>
    <row r="115" spans="1:13" ht="15" customHeight="1" x14ac:dyDescent="0.25">
      <c r="A115" s="26">
        <v>109</v>
      </c>
      <c r="B115" s="27" t="str">
        <f>Absensi!B113</f>
        <v>Kebayoran Lama</v>
      </c>
      <c r="C115" s="27" t="str">
        <f>Absensi!C113</f>
        <v>Yulita Fajarini</v>
      </c>
      <c r="D115" s="27" t="str">
        <f t="shared" si="1"/>
        <v>Kebayoran LamaYulita Fajarini</v>
      </c>
      <c r="E115" s="1">
        <f>COUNTIFS(Absensi!$D113:$ND113,Rekap!E$6,Absensi!$D$2:$ND$2,$M$2)</f>
        <v>0</v>
      </c>
      <c r="F115" s="1">
        <f>COUNTIFS(Absensi!$D113:$ND113,Rekap!F$6,Absensi!$D$2:$ND$2,$M$2)</f>
        <v>0</v>
      </c>
      <c r="G115" s="1">
        <f>COUNTIFS(Absensi!$D113:$ND113,Rekap!G$6,Absensi!$D$2:$ND$2,$M$2)</f>
        <v>0</v>
      </c>
      <c r="H115" s="1">
        <f>COUNTIFS(Absensi!$D113:$ND113,Rekap!H$6,Absensi!$D$2:$ND$2,$M$2)</f>
        <v>0</v>
      </c>
      <c r="I115" s="1">
        <f>COUNTIFS(Absensi!$D113:$ND113,Rekap!I$6,Absensi!$D$2:$ND$2,$M$2)</f>
        <v>0</v>
      </c>
      <c r="J115" s="1">
        <f>COUNTIFS(Absensi!$D113:$ND113,Rekap!J$6,Absensi!$D$2:$ND$2,$M$2)</f>
        <v>0</v>
      </c>
      <c r="K115" s="1"/>
      <c r="L115" s="1"/>
      <c r="M115" s="47">
        <f>IF($M$2="01",SUMIF(Test!$D:$D,Rekap!D115,Test!$AC:$AC),IF($M$2="02",SUMIF(Test!$D:$D,Rekap!D115,Test!$AD:$AD),IF($M$2="03",SUMIF(Test!$D:$D,Rekap!D115,Test!$AE:$AE),IF($M$2="04",SUMIF(Test!$D:$D,Rekap!D115,Test!$AF:$AF),IF($M$2="05",SUMIF(Test!$D:$D,Rekap!D115,Test!$AG:$AG),IF($M$2="06",SUMIF(Test!$D:$D,Rekap!D115,Test!$AH:$AH),IF($M$2="07",SUMIF(Test!$D:$D,Rekap!D115,Test!$AI:$AI),IF($M$2="08",SUMIF(Test!$D:$D,Rekap!D115,Test!$AJ:$AJ),IF($M$2="09",SUMIF(Test!$D:$D,Rekap!D115,Test!$AK:$AK),IF($M$2="10",SUMIF(Test!$D:$D,Rekap!D115,Test!$AL:$AL),IF($M$2="11",SUMIF(Test!$D:$D,Rekap!D115,Test!$AM:$AM),IF($M$2="12",SUMIF(Test!$D:$D,Rekap!D115,Test!$AN:$AN),0))))))))))))</f>
        <v>9</v>
      </c>
    </row>
    <row r="116" spans="1:13" ht="15" customHeight="1" x14ac:dyDescent="0.25">
      <c r="A116" s="26">
        <v>110</v>
      </c>
      <c r="B116" s="27" t="str">
        <f>Absensi!B114</f>
        <v>Kebayoran Lama</v>
      </c>
      <c r="C116" s="27" t="str">
        <f>Absensi!C114</f>
        <v>Heru Yanuarto</v>
      </c>
      <c r="D116" s="27" t="str">
        <f t="shared" si="1"/>
        <v>Kebayoran LamaHeru Yanuarto</v>
      </c>
      <c r="E116" s="1">
        <f>COUNTIFS(Absensi!$D114:$ND114,Rekap!E$6,Absensi!$D$2:$ND$2,$M$2)</f>
        <v>0</v>
      </c>
      <c r="F116" s="1">
        <f>COUNTIFS(Absensi!$D114:$ND114,Rekap!F$6,Absensi!$D$2:$ND$2,$M$2)</f>
        <v>0</v>
      </c>
      <c r="G116" s="1">
        <f>COUNTIFS(Absensi!$D114:$ND114,Rekap!G$6,Absensi!$D$2:$ND$2,$M$2)</f>
        <v>0</v>
      </c>
      <c r="H116" s="1">
        <f>COUNTIFS(Absensi!$D114:$ND114,Rekap!H$6,Absensi!$D$2:$ND$2,$M$2)</f>
        <v>0</v>
      </c>
      <c r="I116" s="1">
        <f>COUNTIFS(Absensi!$D114:$ND114,Rekap!I$6,Absensi!$D$2:$ND$2,$M$2)</f>
        <v>0</v>
      </c>
      <c r="J116" s="1">
        <f>COUNTIFS(Absensi!$D114:$ND114,Rekap!J$6,Absensi!$D$2:$ND$2,$M$2)</f>
        <v>0</v>
      </c>
      <c r="K116" s="1"/>
      <c r="L116" s="1"/>
      <c r="M116" s="47">
        <f>IF($M$2="01",SUMIF(Test!$D:$D,Rekap!D116,Test!$AC:$AC),IF($M$2="02",SUMIF(Test!$D:$D,Rekap!D116,Test!$AD:$AD),IF($M$2="03",SUMIF(Test!$D:$D,Rekap!D116,Test!$AE:$AE),IF($M$2="04",SUMIF(Test!$D:$D,Rekap!D116,Test!$AF:$AF),IF($M$2="05",SUMIF(Test!$D:$D,Rekap!D116,Test!$AG:$AG),IF($M$2="06",SUMIF(Test!$D:$D,Rekap!D116,Test!$AH:$AH),IF($M$2="07",SUMIF(Test!$D:$D,Rekap!D116,Test!$AI:$AI),IF($M$2="08",SUMIF(Test!$D:$D,Rekap!D116,Test!$AJ:$AJ),IF($M$2="09",SUMIF(Test!$D:$D,Rekap!D116,Test!$AK:$AK),IF($M$2="10",SUMIF(Test!$D:$D,Rekap!D116,Test!$AL:$AL),IF($M$2="11",SUMIF(Test!$D:$D,Rekap!D116,Test!$AM:$AM),IF($M$2="12",SUMIF(Test!$D:$D,Rekap!D116,Test!$AN:$AN),0))))))))))))</f>
        <v>4</v>
      </c>
    </row>
    <row r="117" spans="1:13" ht="15" customHeight="1" x14ac:dyDescent="0.25">
      <c r="A117" s="26">
        <v>111</v>
      </c>
      <c r="B117" s="27" t="str">
        <f>Absensi!B115</f>
        <v>Kebayoran Lama</v>
      </c>
      <c r="C117" s="27" t="str">
        <f>Absensi!C115</f>
        <v>Diki Mahendra</v>
      </c>
      <c r="D117" s="27" t="str">
        <f t="shared" si="1"/>
        <v>Kebayoran LamaDiki Mahendra</v>
      </c>
      <c r="E117" s="1">
        <f>COUNTIFS(Absensi!$D115:$ND115,Rekap!E$6,Absensi!$D$2:$ND$2,$M$2)</f>
        <v>0</v>
      </c>
      <c r="F117" s="1">
        <f>COUNTIFS(Absensi!$D115:$ND115,Rekap!F$6,Absensi!$D$2:$ND$2,$M$2)</f>
        <v>1</v>
      </c>
      <c r="G117" s="1">
        <f>COUNTIFS(Absensi!$D115:$ND115,Rekap!G$6,Absensi!$D$2:$ND$2,$M$2)</f>
        <v>0</v>
      </c>
      <c r="H117" s="1">
        <f>COUNTIFS(Absensi!$D115:$ND115,Rekap!H$6,Absensi!$D$2:$ND$2,$M$2)</f>
        <v>0</v>
      </c>
      <c r="I117" s="1">
        <f>COUNTIFS(Absensi!$D115:$ND115,Rekap!I$6,Absensi!$D$2:$ND$2,$M$2)</f>
        <v>0</v>
      </c>
      <c r="J117" s="1">
        <f>COUNTIFS(Absensi!$D115:$ND115,Rekap!J$6,Absensi!$D$2:$ND$2,$M$2)</f>
        <v>0</v>
      </c>
      <c r="K117" s="1"/>
      <c r="L117" s="1"/>
      <c r="M117" s="47">
        <f>IF($M$2="01",SUMIF(Test!$D:$D,Rekap!D117,Test!$AC:$AC),IF($M$2="02",SUMIF(Test!$D:$D,Rekap!D117,Test!$AD:$AD),IF($M$2="03",SUMIF(Test!$D:$D,Rekap!D117,Test!$AE:$AE),IF($M$2="04",SUMIF(Test!$D:$D,Rekap!D117,Test!$AF:$AF),IF($M$2="05",SUMIF(Test!$D:$D,Rekap!D117,Test!$AG:$AG),IF($M$2="06",SUMIF(Test!$D:$D,Rekap!D117,Test!$AH:$AH),IF($M$2="07",SUMIF(Test!$D:$D,Rekap!D117,Test!$AI:$AI),IF($M$2="08",SUMIF(Test!$D:$D,Rekap!D117,Test!$AJ:$AJ),IF($M$2="09",SUMIF(Test!$D:$D,Rekap!D117,Test!$AK:$AK),IF($M$2="10",SUMIF(Test!$D:$D,Rekap!D117,Test!$AL:$AL),IF($M$2="11",SUMIF(Test!$D:$D,Rekap!D117,Test!$AM:$AM),IF($M$2="12",SUMIF(Test!$D:$D,Rekap!D117,Test!$AN:$AN),0))))))))))))</f>
        <v>7</v>
      </c>
    </row>
    <row r="118" spans="1:13" ht="15" customHeight="1" x14ac:dyDescent="0.25">
      <c r="A118" s="26">
        <v>112</v>
      </c>
      <c r="B118" s="27" t="str">
        <f>Absensi!B116</f>
        <v>Kebayoran Lama</v>
      </c>
      <c r="C118" s="27" t="str">
        <f>Absensi!C116</f>
        <v>Harry</v>
      </c>
      <c r="D118" s="27" t="str">
        <f t="shared" si="1"/>
        <v>Kebayoran LamaHarry</v>
      </c>
      <c r="E118" s="1">
        <f>COUNTIFS(Absensi!$D116:$ND116,Rekap!E$6,Absensi!$D$2:$ND$2,$M$2)</f>
        <v>0</v>
      </c>
      <c r="F118" s="1">
        <f>COUNTIFS(Absensi!$D116:$ND116,Rekap!F$6,Absensi!$D$2:$ND$2,$M$2)</f>
        <v>1</v>
      </c>
      <c r="G118" s="1">
        <f>COUNTIFS(Absensi!$D116:$ND116,Rekap!G$6,Absensi!$D$2:$ND$2,$M$2)</f>
        <v>0</v>
      </c>
      <c r="H118" s="1">
        <f>COUNTIFS(Absensi!$D116:$ND116,Rekap!H$6,Absensi!$D$2:$ND$2,$M$2)</f>
        <v>0</v>
      </c>
      <c r="I118" s="1">
        <f>COUNTIFS(Absensi!$D116:$ND116,Rekap!I$6,Absensi!$D$2:$ND$2,$M$2)</f>
        <v>0</v>
      </c>
      <c r="J118" s="1">
        <f>COUNTIFS(Absensi!$D116:$ND116,Rekap!J$6,Absensi!$D$2:$ND$2,$M$2)</f>
        <v>0</v>
      </c>
      <c r="K118" s="1"/>
      <c r="L118" s="1"/>
      <c r="M118" s="47">
        <f>IF($M$2="01",SUMIF(Test!$D:$D,Rekap!D118,Test!$AC:$AC),IF($M$2="02",SUMIF(Test!$D:$D,Rekap!D118,Test!$AD:$AD),IF($M$2="03",SUMIF(Test!$D:$D,Rekap!D118,Test!$AE:$AE),IF($M$2="04",SUMIF(Test!$D:$D,Rekap!D118,Test!$AF:$AF),IF($M$2="05",SUMIF(Test!$D:$D,Rekap!D118,Test!$AG:$AG),IF($M$2="06",SUMIF(Test!$D:$D,Rekap!D118,Test!$AH:$AH),IF($M$2="07",SUMIF(Test!$D:$D,Rekap!D118,Test!$AI:$AI),IF($M$2="08",SUMIF(Test!$D:$D,Rekap!D118,Test!$AJ:$AJ),IF($M$2="09",SUMIF(Test!$D:$D,Rekap!D118,Test!$AK:$AK),IF($M$2="10",SUMIF(Test!$D:$D,Rekap!D118,Test!$AL:$AL),IF($M$2="11",SUMIF(Test!$D:$D,Rekap!D118,Test!$AM:$AM),IF($M$2="12",SUMIF(Test!$D:$D,Rekap!D118,Test!$AN:$AN),0))))))))))))</f>
        <v>9</v>
      </c>
    </row>
    <row r="119" spans="1:13" ht="15" customHeight="1" x14ac:dyDescent="0.25">
      <c r="A119" s="26">
        <v>113</v>
      </c>
      <c r="B119" s="27" t="str">
        <f>Absensi!B117</f>
        <v>Kebayoran Lama</v>
      </c>
      <c r="C119" s="27" t="str">
        <f>Absensi!C117</f>
        <v>Shella Septiyadis</v>
      </c>
      <c r="D119" s="27" t="str">
        <f t="shared" si="1"/>
        <v>Kebayoran LamaShella Septiyadis</v>
      </c>
      <c r="E119" s="1">
        <f>COUNTIFS(Absensi!$D117:$ND117,Rekap!E$6,Absensi!$D$2:$ND$2,$M$2)</f>
        <v>0</v>
      </c>
      <c r="F119" s="1">
        <f>COUNTIFS(Absensi!$D117:$ND117,Rekap!F$6,Absensi!$D$2:$ND$2,$M$2)</f>
        <v>0</v>
      </c>
      <c r="G119" s="1">
        <f>COUNTIFS(Absensi!$D117:$ND117,Rekap!G$6,Absensi!$D$2:$ND$2,$M$2)</f>
        <v>0</v>
      </c>
      <c r="H119" s="1">
        <f>COUNTIFS(Absensi!$D117:$ND117,Rekap!H$6,Absensi!$D$2:$ND$2,$M$2)</f>
        <v>0</v>
      </c>
      <c r="I119" s="1">
        <f>COUNTIFS(Absensi!$D117:$ND117,Rekap!I$6,Absensi!$D$2:$ND$2,$M$2)</f>
        <v>0</v>
      </c>
      <c r="J119" s="1">
        <f>COUNTIFS(Absensi!$D117:$ND117,Rekap!J$6,Absensi!$D$2:$ND$2,$M$2)</f>
        <v>0</v>
      </c>
      <c r="K119" s="1"/>
      <c r="L119" s="1"/>
      <c r="M119" s="47">
        <f>IF($M$2="01",SUMIF(Test!$D:$D,Rekap!D119,Test!$AC:$AC),IF($M$2="02",SUMIF(Test!$D:$D,Rekap!D119,Test!$AD:$AD),IF($M$2="03",SUMIF(Test!$D:$D,Rekap!D119,Test!$AE:$AE),IF($M$2="04",SUMIF(Test!$D:$D,Rekap!D119,Test!$AF:$AF),IF($M$2="05",SUMIF(Test!$D:$D,Rekap!D119,Test!$AG:$AG),IF($M$2="06",SUMIF(Test!$D:$D,Rekap!D119,Test!$AH:$AH),IF($M$2="07",SUMIF(Test!$D:$D,Rekap!D119,Test!$AI:$AI),IF($M$2="08",SUMIF(Test!$D:$D,Rekap!D119,Test!$AJ:$AJ),IF($M$2="09",SUMIF(Test!$D:$D,Rekap!D119,Test!$AK:$AK),IF($M$2="10",SUMIF(Test!$D:$D,Rekap!D119,Test!$AL:$AL),IF($M$2="11",SUMIF(Test!$D:$D,Rekap!D119,Test!$AM:$AM),IF($M$2="12",SUMIF(Test!$D:$D,Rekap!D119,Test!$AN:$AN),0))))))))))))</f>
        <v>10</v>
      </c>
    </row>
    <row r="120" spans="1:13" ht="15" customHeight="1" x14ac:dyDescent="0.25">
      <c r="A120" s="26">
        <v>114</v>
      </c>
      <c r="B120" s="27" t="str">
        <f>Absensi!B118</f>
        <v>Fishroom</v>
      </c>
      <c r="C120" s="27" t="str">
        <f>Absensi!C118</f>
        <v>Sri Fuji Astuti</v>
      </c>
      <c r="D120" s="27" t="str">
        <f t="shared" si="1"/>
        <v>FishroomSri Fuji Astuti</v>
      </c>
      <c r="E120" s="1">
        <f>COUNTIFS(Absensi!$D118:$ND118,Rekap!E$6,Absensi!$D$2:$ND$2,$M$2)</f>
        <v>0</v>
      </c>
      <c r="F120" s="1">
        <f>COUNTIFS(Absensi!$D118:$ND118,Rekap!F$6,Absensi!$D$2:$ND$2,$M$2)</f>
        <v>1</v>
      </c>
      <c r="G120" s="1">
        <f>COUNTIFS(Absensi!$D118:$ND118,Rekap!G$6,Absensi!$D$2:$ND$2,$M$2)</f>
        <v>0</v>
      </c>
      <c r="H120" s="1">
        <f>COUNTIFS(Absensi!$D118:$ND118,Rekap!H$6,Absensi!$D$2:$ND$2,$M$2)</f>
        <v>0</v>
      </c>
      <c r="I120" s="1">
        <f>COUNTIFS(Absensi!$D118:$ND118,Rekap!I$6,Absensi!$D$2:$ND$2,$M$2)</f>
        <v>0</v>
      </c>
      <c r="J120" s="1">
        <f>COUNTIFS(Absensi!$D118:$ND118,Rekap!J$6,Absensi!$D$2:$ND$2,$M$2)</f>
        <v>0</v>
      </c>
      <c r="K120" s="1"/>
      <c r="L120" s="1"/>
      <c r="M120" s="47">
        <f>IF($M$2="01",SUMIF(Test!$D:$D,Rekap!D120,Test!$AC:$AC),IF($M$2="02",SUMIF(Test!$D:$D,Rekap!D120,Test!$AD:$AD),IF($M$2="03",SUMIF(Test!$D:$D,Rekap!D120,Test!$AE:$AE),IF($M$2="04",SUMIF(Test!$D:$D,Rekap!D120,Test!$AF:$AF),IF($M$2="05",SUMIF(Test!$D:$D,Rekap!D120,Test!$AG:$AG),IF($M$2="06",SUMIF(Test!$D:$D,Rekap!D120,Test!$AH:$AH),IF($M$2="07",SUMIF(Test!$D:$D,Rekap!D120,Test!$AI:$AI),IF($M$2="08",SUMIF(Test!$D:$D,Rekap!D120,Test!$AJ:$AJ),IF($M$2="09",SUMIF(Test!$D:$D,Rekap!D120,Test!$AK:$AK),IF($M$2="10",SUMIF(Test!$D:$D,Rekap!D120,Test!$AL:$AL),IF($M$2="11",SUMIF(Test!$D:$D,Rekap!D120,Test!$AM:$AM),IF($M$2="12",SUMIF(Test!$D:$D,Rekap!D120,Test!$AN:$AN),0))))))))))))</f>
        <v>4</v>
      </c>
    </row>
    <row r="121" spans="1:13" ht="15" customHeight="1" x14ac:dyDescent="0.25">
      <c r="A121" s="26">
        <v>115</v>
      </c>
      <c r="B121" s="27" t="str">
        <f>Absensi!B119</f>
        <v>Kebayoran Lama</v>
      </c>
      <c r="C121" s="27" t="str">
        <f>Absensi!C119</f>
        <v>Reni</v>
      </c>
      <c r="D121" s="27" t="str">
        <f t="shared" si="1"/>
        <v>Kebayoran LamaReni</v>
      </c>
      <c r="E121" s="1">
        <f>COUNTIFS(Absensi!$D119:$ND119,Rekap!E$6,Absensi!$D$2:$ND$2,$M$2)</f>
        <v>0</v>
      </c>
      <c r="F121" s="1">
        <f>COUNTIFS(Absensi!$D119:$ND119,Rekap!F$6,Absensi!$D$2:$ND$2,$M$2)</f>
        <v>3</v>
      </c>
      <c r="G121" s="1">
        <f>COUNTIFS(Absensi!$D119:$ND119,Rekap!G$6,Absensi!$D$2:$ND$2,$M$2)</f>
        <v>0</v>
      </c>
      <c r="H121" s="1">
        <f>COUNTIFS(Absensi!$D119:$ND119,Rekap!H$6,Absensi!$D$2:$ND$2,$M$2)</f>
        <v>0</v>
      </c>
      <c r="I121" s="1">
        <f>COUNTIFS(Absensi!$D119:$ND119,Rekap!I$6,Absensi!$D$2:$ND$2,$M$2)</f>
        <v>0</v>
      </c>
      <c r="J121" s="1">
        <f>COUNTIFS(Absensi!$D119:$ND119,Rekap!J$6,Absensi!$D$2:$ND$2,$M$2)</f>
        <v>0</v>
      </c>
      <c r="K121" s="1"/>
      <c r="L121" s="1"/>
      <c r="M121" s="47">
        <f>IF($M$2="01",SUMIF(Test!$D:$D,Rekap!D121,Test!$AC:$AC),IF($M$2="02",SUMIF(Test!$D:$D,Rekap!D121,Test!$AD:$AD),IF($M$2="03",SUMIF(Test!$D:$D,Rekap!D121,Test!$AE:$AE),IF($M$2="04",SUMIF(Test!$D:$D,Rekap!D121,Test!$AF:$AF),IF($M$2="05",SUMIF(Test!$D:$D,Rekap!D121,Test!$AG:$AG),IF($M$2="06",SUMIF(Test!$D:$D,Rekap!D121,Test!$AH:$AH),IF($M$2="07",SUMIF(Test!$D:$D,Rekap!D121,Test!$AI:$AI),IF($M$2="08",SUMIF(Test!$D:$D,Rekap!D121,Test!$AJ:$AJ),IF($M$2="09",SUMIF(Test!$D:$D,Rekap!D121,Test!$AK:$AK),IF($M$2="10",SUMIF(Test!$D:$D,Rekap!D121,Test!$AL:$AL),IF($M$2="11",SUMIF(Test!$D:$D,Rekap!D121,Test!$AM:$AM),IF($M$2="12",SUMIF(Test!$D:$D,Rekap!D121,Test!$AN:$AN),0))))))))))))</f>
        <v>5</v>
      </c>
    </row>
    <row r="122" spans="1:13" ht="15" customHeight="1" x14ac:dyDescent="0.25">
      <c r="A122" s="26">
        <v>116</v>
      </c>
      <c r="B122" s="27" t="str">
        <f>Absensi!B120</f>
        <v>Kebayoran Lama</v>
      </c>
      <c r="C122" s="27" t="str">
        <f>Absensi!C120</f>
        <v>Erda Marwan</v>
      </c>
      <c r="D122" s="27" t="str">
        <f t="shared" si="1"/>
        <v>Kebayoran LamaErda Marwan</v>
      </c>
      <c r="E122" s="1">
        <f>COUNTIFS(Absensi!$D120:$ND120,Rekap!E$6,Absensi!$D$2:$ND$2,$M$2)</f>
        <v>0</v>
      </c>
      <c r="F122" s="1">
        <f>COUNTIFS(Absensi!$D120:$ND120,Rekap!F$6,Absensi!$D$2:$ND$2,$M$2)</f>
        <v>0</v>
      </c>
      <c r="G122" s="1">
        <f>COUNTIFS(Absensi!$D120:$ND120,Rekap!G$6,Absensi!$D$2:$ND$2,$M$2)</f>
        <v>0</v>
      </c>
      <c r="H122" s="1">
        <f>COUNTIFS(Absensi!$D120:$ND120,Rekap!H$6,Absensi!$D$2:$ND$2,$M$2)</f>
        <v>0</v>
      </c>
      <c r="I122" s="1">
        <f>COUNTIFS(Absensi!$D120:$ND120,Rekap!I$6,Absensi!$D$2:$ND$2,$M$2)</f>
        <v>0</v>
      </c>
      <c r="J122" s="1">
        <f>COUNTIFS(Absensi!$D120:$ND120,Rekap!J$6,Absensi!$D$2:$ND$2,$M$2)</f>
        <v>0</v>
      </c>
      <c r="K122" s="1"/>
      <c r="L122" s="1"/>
      <c r="M122" s="47">
        <f>IF($M$2="01",SUMIF(Test!$D:$D,Rekap!D122,Test!$AC:$AC),IF($M$2="02",SUMIF(Test!$D:$D,Rekap!D122,Test!$AD:$AD),IF($M$2="03",SUMIF(Test!$D:$D,Rekap!D122,Test!$AE:$AE),IF($M$2="04",SUMIF(Test!$D:$D,Rekap!D122,Test!$AF:$AF),IF($M$2="05",SUMIF(Test!$D:$D,Rekap!D122,Test!$AG:$AG),IF($M$2="06",SUMIF(Test!$D:$D,Rekap!D122,Test!$AH:$AH),IF($M$2="07",SUMIF(Test!$D:$D,Rekap!D122,Test!$AI:$AI),IF($M$2="08",SUMIF(Test!$D:$D,Rekap!D122,Test!$AJ:$AJ),IF($M$2="09",SUMIF(Test!$D:$D,Rekap!D122,Test!$AK:$AK),IF($M$2="10",SUMIF(Test!$D:$D,Rekap!D122,Test!$AL:$AL),IF($M$2="11",SUMIF(Test!$D:$D,Rekap!D122,Test!$AM:$AM),IF($M$2="12",SUMIF(Test!$D:$D,Rekap!D122,Test!$AN:$AN),0))))))))))))</f>
        <v>11</v>
      </c>
    </row>
    <row r="123" spans="1:13" ht="15" customHeight="1" x14ac:dyDescent="0.25">
      <c r="A123" s="26">
        <v>117</v>
      </c>
      <c r="B123" s="27" t="str">
        <f>Absensi!B121</f>
        <v>Kebayoran Lama</v>
      </c>
      <c r="C123" s="27" t="str">
        <f>Absensi!C121</f>
        <v>Dita Septiyanti</v>
      </c>
      <c r="D123" s="27" t="str">
        <f t="shared" si="1"/>
        <v>Kebayoran LamaDita Septiyanti</v>
      </c>
      <c r="E123" s="1">
        <f>COUNTIFS(Absensi!$D121:$ND121,Rekap!E$6,Absensi!$D$2:$ND$2,$M$2)</f>
        <v>0</v>
      </c>
      <c r="F123" s="1">
        <f>COUNTIFS(Absensi!$D121:$ND121,Rekap!F$6,Absensi!$D$2:$ND$2,$M$2)</f>
        <v>1</v>
      </c>
      <c r="G123" s="1">
        <f>COUNTIFS(Absensi!$D121:$ND121,Rekap!G$6,Absensi!$D$2:$ND$2,$M$2)</f>
        <v>0</v>
      </c>
      <c r="H123" s="1">
        <f>COUNTIFS(Absensi!$D121:$ND121,Rekap!H$6,Absensi!$D$2:$ND$2,$M$2)</f>
        <v>0</v>
      </c>
      <c r="I123" s="1">
        <f>COUNTIFS(Absensi!$D121:$ND121,Rekap!I$6,Absensi!$D$2:$ND$2,$M$2)</f>
        <v>0</v>
      </c>
      <c r="J123" s="1">
        <f>COUNTIFS(Absensi!$D121:$ND121,Rekap!J$6,Absensi!$D$2:$ND$2,$M$2)</f>
        <v>0</v>
      </c>
      <c r="K123" s="1"/>
      <c r="L123" s="1"/>
      <c r="M123" s="47">
        <f>IF($M$2="01",SUMIF(Test!$D:$D,Rekap!D123,Test!$AC:$AC),IF($M$2="02",SUMIF(Test!$D:$D,Rekap!D123,Test!$AD:$AD),IF($M$2="03",SUMIF(Test!$D:$D,Rekap!D123,Test!$AE:$AE),IF($M$2="04",SUMIF(Test!$D:$D,Rekap!D123,Test!$AF:$AF),IF($M$2="05",SUMIF(Test!$D:$D,Rekap!D123,Test!$AG:$AG),IF($M$2="06",SUMIF(Test!$D:$D,Rekap!D123,Test!$AH:$AH),IF($M$2="07",SUMIF(Test!$D:$D,Rekap!D123,Test!$AI:$AI),IF($M$2="08",SUMIF(Test!$D:$D,Rekap!D123,Test!$AJ:$AJ),IF($M$2="09",SUMIF(Test!$D:$D,Rekap!D123,Test!$AK:$AK),IF($M$2="10",SUMIF(Test!$D:$D,Rekap!D123,Test!$AL:$AL),IF($M$2="11",SUMIF(Test!$D:$D,Rekap!D123,Test!$AM:$AM),IF($M$2="12",SUMIF(Test!$D:$D,Rekap!D123,Test!$AN:$AN),0))))))))))))</f>
        <v>8</v>
      </c>
    </row>
    <row r="124" spans="1:13" ht="15" customHeight="1" x14ac:dyDescent="0.25">
      <c r="A124" s="26">
        <v>118</v>
      </c>
      <c r="B124" s="27" t="str">
        <f>Absensi!B122</f>
        <v>Fishroom</v>
      </c>
      <c r="C124" s="27" t="str">
        <f>Absensi!C122</f>
        <v>Heri Sandi</v>
      </c>
      <c r="D124" s="27" t="str">
        <f t="shared" si="1"/>
        <v>FishroomHeri Sandi</v>
      </c>
      <c r="E124" s="1">
        <f>COUNTIFS(Absensi!$D122:$ND122,Rekap!E$6,Absensi!$D$2:$ND$2,$M$2)</f>
        <v>0</v>
      </c>
      <c r="F124" s="1">
        <f>COUNTIFS(Absensi!$D122:$ND122,Rekap!F$6,Absensi!$D$2:$ND$2,$M$2)</f>
        <v>2</v>
      </c>
      <c r="G124" s="1">
        <f>COUNTIFS(Absensi!$D122:$ND122,Rekap!G$6,Absensi!$D$2:$ND$2,$M$2)</f>
        <v>0</v>
      </c>
      <c r="H124" s="1">
        <f>COUNTIFS(Absensi!$D122:$ND122,Rekap!H$6,Absensi!$D$2:$ND$2,$M$2)</f>
        <v>0</v>
      </c>
      <c r="I124" s="1">
        <f>COUNTIFS(Absensi!$D122:$ND122,Rekap!I$6,Absensi!$D$2:$ND$2,$M$2)</f>
        <v>0</v>
      </c>
      <c r="J124" s="1">
        <f>COUNTIFS(Absensi!$D122:$ND122,Rekap!J$6,Absensi!$D$2:$ND$2,$M$2)</f>
        <v>0</v>
      </c>
      <c r="K124" s="1"/>
      <c r="L124" s="1"/>
      <c r="M124" s="47">
        <f>IF($M$2="01",SUMIF(Test!$D:$D,Rekap!D124,Test!$AC:$AC),IF($M$2="02",SUMIF(Test!$D:$D,Rekap!D124,Test!$AD:$AD),IF($M$2="03",SUMIF(Test!$D:$D,Rekap!D124,Test!$AE:$AE),IF($M$2="04",SUMIF(Test!$D:$D,Rekap!D124,Test!$AF:$AF),IF($M$2="05",SUMIF(Test!$D:$D,Rekap!D124,Test!$AG:$AG),IF($M$2="06",SUMIF(Test!$D:$D,Rekap!D124,Test!$AH:$AH),IF($M$2="07",SUMIF(Test!$D:$D,Rekap!D124,Test!$AI:$AI),IF($M$2="08",SUMIF(Test!$D:$D,Rekap!D124,Test!$AJ:$AJ),IF($M$2="09",SUMIF(Test!$D:$D,Rekap!D124,Test!$AK:$AK),IF($M$2="10",SUMIF(Test!$D:$D,Rekap!D124,Test!$AL:$AL),IF($M$2="11",SUMIF(Test!$D:$D,Rekap!D124,Test!$AM:$AM),IF($M$2="12",SUMIF(Test!$D:$D,Rekap!D124,Test!$AN:$AN),0))))))))))))</f>
        <v>1</v>
      </c>
    </row>
    <row r="125" spans="1:13" ht="15" customHeight="1" x14ac:dyDescent="0.25">
      <c r="A125" s="26">
        <v>119</v>
      </c>
      <c r="B125" s="27" t="str">
        <f>Absensi!B123</f>
        <v>Fishroom</v>
      </c>
      <c r="C125" s="27" t="str">
        <f>Absensi!C123</f>
        <v>Aliyudin</v>
      </c>
      <c r="D125" s="27" t="str">
        <f t="shared" si="1"/>
        <v>FishroomAliyudin</v>
      </c>
      <c r="E125" s="1">
        <f>COUNTIFS(Absensi!$D123:$ND123,Rekap!E$6,Absensi!$D$2:$ND$2,$M$2)</f>
        <v>0</v>
      </c>
      <c r="F125" s="1">
        <f>COUNTIFS(Absensi!$D123:$ND123,Rekap!F$6,Absensi!$D$2:$ND$2,$M$2)</f>
        <v>3</v>
      </c>
      <c r="G125" s="1">
        <f>COUNTIFS(Absensi!$D123:$ND123,Rekap!G$6,Absensi!$D$2:$ND$2,$M$2)</f>
        <v>0</v>
      </c>
      <c r="H125" s="1">
        <f>COUNTIFS(Absensi!$D123:$ND123,Rekap!H$6,Absensi!$D$2:$ND$2,$M$2)</f>
        <v>0</v>
      </c>
      <c r="I125" s="1">
        <f>COUNTIFS(Absensi!$D123:$ND123,Rekap!I$6,Absensi!$D$2:$ND$2,$M$2)</f>
        <v>0</v>
      </c>
      <c r="J125" s="1">
        <f>COUNTIFS(Absensi!$D123:$ND123,Rekap!J$6,Absensi!$D$2:$ND$2,$M$2)</f>
        <v>0</v>
      </c>
      <c r="K125" s="1"/>
      <c r="L125" s="1"/>
      <c r="M125" s="47">
        <f>IF($M$2="01",SUMIF(Test!$D:$D,Rekap!D125,Test!$AC:$AC),IF($M$2="02",SUMIF(Test!$D:$D,Rekap!D125,Test!$AD:$AD),IF($M$2="03",SUMIF(Test!$D:$D,Rekap!D125,Test!$AE:$AE),IF($M$2="04",SUMIF(Test!$D:$D,Rekap!D125,Test!$AF:$AF),IF($M$2="05",SUMIF(Test!$D:$D,Rekap!D125,Test!$AG:$AG),IF($M$2="06",SUMIF(Test!$D:$D,Rekap!D125,Test!$AH:$AH),IF($M$2="07",SUMIF(Test!$D:$D,Rekap!D125,Test!$AI:$AI),IF($M$2="08",SUMIF(Test!$D:$D,Rekap!D125,Test!$AJ:$AJ),IF($M$2="09",SUMIF(Test!$D:$D,Rekap!D125,Test!$AK:$AK),IF($M$2="10",SUMIF(Test!$D:$D,Rekap!D125,Test!$AL:$AL),IF($M$2="11",SUMIF(Test!$D:$D,Rekap!D125,Test!$AM:$AM),IF($M$2="12",SUMIF(Test!$D:$D,Rekap!D125,Test!$AN:$AN),0))))))))))))</f>
        <v>-1</v>
      </c>
    </row>
    <row r="126" spans="1:13" ht="15" customHeight="1" x14ac:dyDescent="0.25">
      <c r="A126" s="26">
        <v>120</v>
      </c>
      <c r="B126" s="27" t="str">
        <f>Absensi!B124</f>
        <v>Kebayoran Lama</v>
      </c>
      <c r="C126" s="27" t="str">
        <f>Absensi!C124</f>
        <v>Aisyah</v>
      </c>
      <c r="D126" s="27" t="str">
        <f t="shared" si="1"/>
        <v>Kebayoran LamaAisyah</v>
      </c>
      <c r="E126" s="1">
        <f>COUNTIFS(Absensi!$D124:$ND124,Rekap!E$6,Absensi!$D$2:$ND$2,$M$2)</f>
        <v>0</v>
      </c>
      <c r="F126" s="1">
        <f>COUNTIFS(Absensi!$D124:$ND124,Rekap!F$6,Absensi!$D$2:$ND$2,$M$2)</f>
        <v>0</v>
      </c>
      <c r="G126" s="1">
        <f>COUNTIFS(Absensi!$D124:$ND124,Rekap!G$6,Absensi!$D$2:$ND$2,$M$2)</f>
        <v>0</v>
      </c>
      <c r="H126" s="1">
        <f>COUNTIFS(Absensi!$D124:$ND124,Rekap!H$6,Absensi!$D$2:$ND$2,$M$2)</f>
        <v>0</v>
      </c>
      <c r="I126" s="1">
        <f>COUNTIFS(Absensi!$D124:$ND124,Rekap!I$6,Absensi!$D$2:$ND$2,$M$2)</f>
        <v>0</v>
      </c>
      <c r="J126" s="1">
        <f>COUNTIFS(Absensi!$D124:$ND124,Rekap!J$6,Absensi!$D$2:$ND$2,$M$2)</f>
        <v>0</v>
      </c>
      <c r="K126" s="1"/>
      <c r="L126" s="1"/>
      <c r="M126" s="47">
        <f>IF($M$2="01",SUMIF(Test!$D:$D,Rekap!D126,Test!$AC:$AC),IF($M$2="02",SUMIF(Test!$D:$D,Rekap!D126,Test!$AD:$AD),IF($M$2="03",SUMIF(Test!$D:$D,Rekap!D126,Test!$AE:$AE),IF($M$2="04",SUMIF(Test!$D:$D,Rekap!D126,Test!$AF:$AF),IF($M$2="05",SUMIF(Test!$D:$D,Rekap!D126,Test!$AG:$AG),IF($M$2="06",SUMIF(Test!$D:$D,Rekap!D126,Test!$AH:$AH),IF($M$2="07",SUMIF(Test!$D:$D,Rekap!D126,Test!$AI:$AI),IF($M$2="08",SUMIF(Test!$D:$D,Rekap!D126,Test!$AJ:$AJ),IF($M$2="09",SUMIF(Test!$D:$D,Rekap!D126,Test!$AK:$AK),IF($M$2="10",SUMIF(Test!$D:$D,Rekap!D126,Test!$AL:$AL),IF($M$2="11",SUMIF(Test!$D:$D,Rekap!D126,Test!$AM:$AM),IF($M$2="12",SUMIF(Test!$D:$D,Rekap!D126,Test!$AN:$AN),0))))))))))))</f>
        <v>11</v>
      </c>
    </row>
    <row r="127" spans="1:13" ht="15" customHeight="1" x14ac:dyDescent="0.25">
      <c r="A127" s="26">
        <v>121</v>
      </c>
      <c r="B127" s="27" t="str">
        <f>Absensi!B125</f>
        <v>Kebayoran Lama</v>
      </c>
      <c r="C127" s="27" t="str">
        <f>Absensi!C125</f>
        <v>Alip</v>
      </c>
      <c r="D127" s="27" t="str">
        <f t="shared" si="1"/>
        <v>Kebayoran LamaAlip</v>
      </c>
      <c r="E127" s="1">
        <f>COUNTIFS(Absensi!$D125:$ND125,Rekap!E$6,Absensi!$D$2:$ND$2,$M$2)</f>
        <v>0</v>
      </c>
      <c r="F127" s="1">
        <f>COUNTIFS(Absensi!$D125:$ND125,Rekap!F$6,Absensi!$D$2:$ND$2,$M$2)</f>
        <v>0</v>
      </c>
      <c r="G127" s="1">
        <f>COUNTIFS(Absensi!$D125:$ND125,Rekap!G$6,Absensi!$D$2:$ND$2,$M$2)</f>
        <v>0</v>
      </c>
      <c r="H127" s="1">
        <f>COUNTIFS(Absensi!$D125:$ND125,Rekap!H$6,Absensi!$D$2:$ND$2,$M$2)</f>
        <v>0</v>
      </c>
      <c r="I127" s="1">
        <f>COUNTIFS(Absensi!$D125:$ND125,Rekap!I$6,Absensi!$D$2:$ND$2,$M$2)</f>
        <v>0</v>
      </c>
      <c r="J127" s="1">
        <f>COUNTIFS(Absensi!$D125:$ND125,Rekap!J$6,Absensi!$D$2:$ND$2,$M$2)</f>
        <v>0</v>
      </c>
      <c r="K127" s="1"/>
      <c r="L127" s="1"/>
      <c r="M127" s="47">
        <f>IF($M$2="01",SUMIF(Test!$D:$D,Rekap!D127,Test!$AC:$AC),IF($M$2="02",SUMIF(Test!$D:$D,Rekap!D127,Test!$AD:$AD),IF($M$2="03",SUMIF(Test!$D:$D,Rekap!D127,Test!$AE:$AE),IF($M$2="04",SUMIF(Test!$D:$D,Rekap!D127,Test!$AF:$AF),IF($M$2="05",SUMIF(Test!$D:$D,Rekap!D127,Test!$AG:$AG),IF($M$2="06",SUMIF(Test!$D:$D,Rekap!D127,Test!$AH:$AH),IF($M$2="07",SUMIF(Test!$D:$D,Rekap!D127,Test!$AI:$AI),IF($M$2="08",SUMIF(Test!$D:$D,Rekap!D127,Test!$AJ:$AJ),IF($M$2="09",SUMIF(Test!$D:$D,Rekap!D127,Test!$AK:$AK),IF($M$2="10",SUMIF(Test!$D:$D,Rekap!D127,Test!$AL:$AL),IF($M$2="11",SUMIF(Test!$D:$D,Rekap!D127,Test!$AM:$AM),IF($M$2="12",SUMIF(Test!$D:$D,Rekap!D127,Test!$AN:$AN),0))))))))))))</f>
        <v>12</v>
      </c>
    </row>
    <row r="128" spans="1:13" ht="15" customHeight="1" x14ac:dyDescent="0.25">
      <c r="A128" s="26">
        <v>122</v>
      </c>
      <c r="B128" s="27" t="str">
        <f>Absensi!B126</f>
        <v>Kebayoran Lama</v>
      </c>
      <c r="C128" s="27" t="str">
        <f>Absensi!C126</f>
        <v>Mifta Udin Pratama</v>
      </c>
      <c r="D128" s="27" t="str">
        <f t="shared" si="1"/>
        <v>Kebayoran LamaMifta Udin Pratama</v>
      </c>
      <c r="E128" s="1">
        <f>COUNTIFS(Absensi!$D126:$ND126,Rekap!E$6,Absensi!$D$2:$ND$2,$M$2)</f>
        <v>0</v>
      </c>
      <c r="F128" s="1">
        <f>COUNTIFS(Absensi!$D126:$ND126,Rekap!F$6,Absensi!$D$2:$ND$2,$M$2)</f>
        <v>0</v>
      </c>
      <c r="G128" s="1">
        <f>COUNTIFS(Absensi!$D126:$ND126,Rekap!G$6,Absensi!$D$2:$ND$2,$M$2)</f>
        <v>0</v>
      </c>
      <c r="H128" s="1">
        <f>COUNTIFS(Absensi!$D126:$ND126,Rekap!H$6,Absensi!$D$2:$ND$2,$M$2)</f>
        <v>0</v>
      </c>
      <c r="I128" s="1">
        <f>COUNTIFS(Absensi!$D126:$ND126,Rekap!I$6,Absensi!$D$2:$ND$2,$M$2)</f>
        <v>0</v>
      </c>
      <c r="J128" s="1">
        <f>COUNTIFS(Absensi!$D126:$ND126,Rekap!J$6,Absensi!$D$2:$ND$2,$M$2)</f>
        <v>0</v>
      </c>
      <c r="K128" s="1"/>
      <c r="L128" s="1"/>
      <c r="M128" s="47">
        <f>IF($M$2="01",SUMIF(Test!$D:$D,Rekap!D128,Test!$AC:$AC),IF($M$2="02",SUMIF(Test!$D:$D,Rekap!D128,Test!$AD:$AD),IF($M$2="03",SUMIF(Test!$D:$D,Rekap!D128,Test!$AE:$AE),IF($M$2="04",SUMIF(Test!$D:$D,Rekap!D128,Test!$AF:$AF),IF($M$2="05",SUMIF(Test!$D:$D,Rekap!D128,Test!$AG:$AG),IF($M$2="06",SUMIF(Test!$D:$D,Rekap!D128,Test!$AH:$AH),IF($M$2="07",SUMIF(Test!$D:$D,Rekap!D128,Test!$AI:$AI),IF($M$2="08",SUMIF(Test!$D:$D,Rekap!D128,Test!$AJ:$AJ),IF($M$2="09",SUMIF(Test!$D:$D,Rekap!D128,Test!$AK:$AK),IF($M$2="10",SUMIF(Test!$D:$D,Rekap!D128,Test!$AL:$AL),IF($M$2="11",SUMIF(Test!$D:$D,Rekap!D128,Test!$AM:$AM),IF($M$2="12",SUMIF(Test!$D:$D,Rekap!D128,Test!$AN:$AN),0))))))))))))</f>
        <v>4</v>
      </c>
    </row>
    <row r="129" spans="1:13" ht="15" customHeight="1" x14ac:dyDescent="0.25">
      <c r="A129" s="26">
        <v>123</v>
      </c>
      <c r="B129" s="27" t="str">
        <f>Absensi!B127</f>
        <v>Kebayoran Lama</v>
      </c>
      <c r="C129" s="27" t="str">
        <f>Absensi!C127</f>
        <v>wanto</v>
      </c>
      <c r="D129" s="27" t="str">
        <f t="shared" si="1"/>
        <v>Kebayoran Lamawanto</v>
      </c>
      <c r="E129" s="1">
        <f>COUNTIFS(Absensi!$D127:$ND127,Rekap!E$6,Absensi!$D$2:$ND$2,$M$2)</f>
        <v>0</v>
      </c>
      <c r="F129" s="1">
        <f>COUNTIFS(Absensi!$D127:$ND127,Rekap!F$6,Absensi!$D$2:$ND$2,$M$2)</f>
        <v>0</v>
      </c>
      <c r="G129" s="1">
        <f>COUNTIFS(Absensi!$D127:$ND127,Rekap!G$6,Absensi!$D$2:$ND$2,$M$2)</f>
        <v>0</v>
      </c>
      <c r="H129" s="1">
        <f>COUNTIFS(Absensi!$D127:$ND127,Rekap!H$6,Absensi!$D$2:$ND$2,$M$2)</f>
        <v>0</v>
      </c>
      <c r="I129" s="1">
        <f>COUNTIFS(Absensi!$D127:$ND127,Rekap!I$6,Absensi!$D$2:$ND$2,$M$2)</f>
        <v>0</v>
      </c>
      <c r="J129" s="1">
        <f>COUNTIFS(Absensi!$D127:$ND127,Rekap!J$6,Absensi!$D$2:$ND$2,$M$2)</f>
        <v>0</v>
      </c>
      <c r="K129" s="1"/>
      <c r="L129" s="1"/>
      <c r="M129" s="47">
        <f>IF($M$2="01",SUMIF(Test!$D:$D,Rekap!D129,Test!$AC:$AC),IF($M$2="02",SUMIF(Test!$D:$D,Rekap!D129,Test!$AD:$AD),IF($M$2="03",SUMIF(Test!$D:$D,Rekap!D129,Test!$AE:$AE),IF($M$2="04",SUMIF(Test!$D:$D,Rekap!D129,Test!$AF:$AF),IF($M$2="05",SUMIF(Test!$D:$D,Rekap!D129,Test!$AG:$AG),IF($M$2="06",SUMIF(Test!$D:$D,Rekap!D129,Test!$AH:$AH),IF($M$2="07",SUMIF(Test!$D:$D,Rekap!D129,Test!$AI:$AI),IF($M$2="08",SUMIF(Test!$D:$D,Rekap!D129,Test!$AJ:$AJ),IF($M$2="09",SUMIF(Test!$D:$D,Rekap!D129,Test!$AK:$AK),IF($M$2="10",SUMIF(Test!$D:$D,Rekap!D129,Test!$AL:$AL),IF($M$2="11",SUMIF(Test!$D:$D,Rekap!D129,Test!$AM:$AM),IF($M$2="12",SUMIF(Test!$D:$D,Rekap!D129,Test!$AN:$AN),0))))))))))))</f>
        <v>12</v>
      </c>
    </row>
    <row r="130" spans="1:13" ht="15" customHeight="1" x14ac:dyDescent="0.25">
      <c r="A130" s="26">
        <v>124</v>
      </c>
      <c r="B130" s="27" t="str">
        <f>Absensi!B128</f>
        <v>Kebayoran Lama</v>
      </c>
      <c r="C130" s="27" t="str">
        <f>Absensi!C128</f>
        <v>Tara Febriyanti</v>
      </c>
      <c r="D130" s="27" t="str">
        <f t="shared" si="1"/>
        <v>Kebayoran LamaTara Febriyanti</v>
      </c>
      <c r="E130" s="1">
        <f>COUNTIFS(Absensi!$D128:$ND128,Rekap!E$6,Absensi!$D$2:$ND$2,$M$2)</f>
        <v>0</v>
      </c>
      <c r="F130" s="1">
        <f>COUNTIFS(Absensi!$D128:$ND128,Rekap!F$6,Absensi!$D$2:$ND$2,$M$2)</f>
        <v>0</v>
      </c>
      <c r="G130" s="1">
        <f>COUNTIFS(Absensi!$D128:$ND128,Rekap!G$6,Absensi!$D$2:$ND$2,$M$2)</f>
        <v>0</v>
      </c>
      <c r="H130" s="1">
        <f>COUNTIFS(Absensi!$D128:$ND128,Rekap!H$6,Absensi!$D$2:$ND$2,$M$2)</f>
        <v>0</v>
      </c>
      <c r="I130" s="1">
        <f>COUNTIFS(Absensi!$D128:$ND128,Rekap!I$6,Absensi!$D$2:$ND$2,$M$2)</f>
        <v>0</v>
      </c>
      <c r="J130" s="1">
        <f>COUNTIFS(Absensi!$D128:$ND128,Rekap!J$6,Absensi!$D$2:$ND$2,$M$2)</f>
        <v>0</v>
      </c>
      <c r="K130" s="1"/>
      <c r="L130" s="1"/>
      <c r="M130" s="47">
        <f>IF($M$2="01",SUMIF(Test!$D:$D,Rekap!D130,Test!$AC:$AC),IF($M$2="02",SUMIF(Test!$D:$D,Rekap!D130,Test!$AD:$AD),IF($M$2="03",SUMIF(Test!$D:$D,Rekap!D130,Test!$AE:$AE),IF($M$2="04",SUMIF(Test!$D:$D,Rekap!D130,Test!$AF:$AF),IF($M$2="05",SUMIF(Test!$D:$D,Rekap!D130,Test!$AG:$AG),IF($M$2="06",SUMIF(Test!$D:$D,Rekap!D130,Test!$AH:$AH),IF($M$2="07",SUMIF(Test!$D:$D,Rekap!D130,Test!$AI:$AI),IF($M$2="08",SUMIF(Test!$D:$D,Rekap!D130,Test!$AJ:$AJ),IF($M$2="09",SUMIF(Test!$D:$D,Rekap!D130,Test!$AK:$AK),IF($M$2="10",SUMIF(Test!$D:$D,Rekap!D130,Test!$AL:$AL),IF($M$2="11",SUMIF(Test!$D:$D,Rekap!D130,Test!$AM:$AM),IF($M$2="12",SUMIF(Test!$D:$D,Rekap!D130,Test!$AN:$AN),0))))))))))))</f>
        <v>-1</v>
      </c>
    </row>
    <row r="131" spans="1:13" ht="15" customHeight="1" x14ac:dyDescent="0.25">
      <c r="A131" s="26">
        <v>125</v>
      </c>
      <c r="B131" s="27" t="str">
        <f>Absensi!B129</f>
        <v>Kebayoran Lama</v>
      </c>
      <c r="C131" s="27" t="str">
        <f>Absensi!C129</f>
        <v>Maulana</v>
      </c>
      <c r="D131" s="27" t="str">
        <f t="shared" si="1"/>
        <v>Kebayoran LamaMaulana</v>
      </c>
      <c r="E131" s="1">
        <f>COUNTIFS(Absensi!$D129:$ND129,Rekap!E$6,Absensi!$D$2:$ND$2,$M$2)</f>
        <v>0</v>
      </c>
      <c r="F131" s="1">
        <f>COUNTIFS(Absensi!$D129:$ND129,Rekap!F$6,Absensi!$D$2:$ND$2,$M$2)</f>
        <v>0</v>
      </c>
      <c r="G131" s="1">
        <f>COUNTIFS(Absensi!$D129:$ND129,Rekap!G$6,Absensi!$D$2:$ND$2,$M$2)</f>
        <v>0</v>
      </c>
      <c r="H131" s="1">
        <f>COUNTIFS(Absensi!$D129:$ND129,Rekap!H$6,Absensi!$D$2:$ND$2,$M$2)</f>
        <v>0</v>
      </c>
      <c r="I131" s="1">
        <f>COUNTIFS(Absensi!$D129:$ND129,Rekap!I$6,Absensi!$D$2:$ND$2,$M$2)</f>
        <v>0</v>
      </c>
      <c r="J131" s="1">
        <f>COUNTIFS(Absensi!$D129:$ND129,Rekap!J$6,Absensi!$D$2:$ND$2,$M$2)</f>
        <v>0</v>
      </c>
      <c r="K131" s="1"/>
      <c r="L131" s="1"/>
      <c r="M131" s="47">
        <f>IF($M$2="01",SUMIF(Test!$D:$D,Rekap!D131,Test!$AC:$AC),IF($M$2="02",SUMIF(Test!$D:$D,Rekap!D131,Test!$AD:$AD),IF($M$2="03",SUMIF(Test!$D:$D,Rekap!D131,Test!$AE:$AE),IF($M$2="04",SUMIF(Test!$D:$D,Rekap!D131,Test!$AF:$AF),IF($M$2="05",SUMIF(Test!$D:$D,Rekap!D131,Test!$AG:$AG),IF($M$2="06",SUMIF(Test!$D:$D,Rekap!D131,Test!$AH:$AH),IF($M$2="07",SUMIF(Test!$D:$D,Rekap!D131,Test!$AI:$AI),IF($M$2="08",SUMIF(Test!$D:$D,Rekap!D131,Test!$AJ:$AJ),IF($M$2="09",SUMIF(Test!$D:$D,Rekap!D131,Test!$AK:$AK),IF($M$2="10",SUMIF(Test!$D:$D,Rekap!D131,Test!$AL:$AL),IF($M$2="11",SUMIF(Test!$D:$D,Rekap!D131,Test!$AM:$AM),IF($M$2="12",SUMIF(Test!$D:$D,Rekap!D131,Test!$AN:$AN),0))))))))))))</f>
        <v>12</v>
      </c>
    </row>
    <row r="132" spans="1:13" ht="15" customHeight="1" x14ac:dyDescent="0.25">
      <c r="A132" s="26">
        <v>126</v>
      </c>
      <c r="B132" s="27" t="str">
        <f>Absensi!B130</f>
        <v>Kebayoran Lama</v>
      </c>
      <c r="C132" s="27" t="str">
        <f>Absensi!C130</f>
        <v>Riki</v>
      </c>
      <c r="D132" s="27" t="str">
        <f t="shared" si="1"/>
        <v>Kebayoran LamaRiki</v>
      </c>
      <c r="E132" s="1">
        <f>COUNTIFS(Absensi!$D130:$ND130,Rekap!E$6,Absensi!$D$2:$ND$2,$M$2)</f>
        <v>0</v>
      </c>
      <c r="F132" s="1">
        <f>COUNTIFS(Absensi!$D130:$ND130,Rekap!F$6,Absensi!$D$2:$ND$2,$M$2)</f>
        <v>0</v>
      </c>
      <c r="G132" s="1">
        <f>COUNTIFS(Absensi!$D130:$ND130,Rekap!G$6,Absensi!$D$2:$ND$2,$M$2)</f>
        <v>0</v>
      </c>
      <c r="H132" s="1">
        <f>COUNTIFS(Absensi!$D130:$ND130,Rekap!H$6,Absensi!$D$2:$ND$2,$M$2)</f>
        <v>0</v>
      </c>
      <c r="I132" s="1">
        <f>COUNTIFS(Absensi!$D130:$ND130,Rekap!I$6,Absensi!$D$2:$ND$2,$M$2)</f>
        <v>0</v>
      </c>
      <c r="J132" s="1">
        <f>COUNTIFS(Absensi!$D130:$ND130,Rekap!J$6,Absensi!$D$2:$ND$2,$M$2)</f>
        <v>0</v>
      </c>
      <c r="K132" s="1"/>
      <c r="L132" s="1"/>
      <c r="M132" s="47">
        <f>IF($M$2="01",SUMIF(Test!$D:$D,Rekap!D132,Test!$AC:$AC),IF($M$2="02",SUMIF(Test!$D:$D,Rekap!D132,Test!$AD:$AD),IF($M$2="03",SUMIF(Test!$D:$D,Rekap!D132,Test!$AE:$AE),IF($M$2="04",SUMIF(Test!$D:$D,Rekap!D132,Test!$AF:$AF),IF($M$2="05",SUMIF(Test!$D:$D,Rekap!D132,Test!$AG:$AG),IF($M$2="06",SUMIF(Test!$D:$D,Rekap!D132,Test!$AH:$AH),IF($M$2="07",SUMIF(Test!$D:$D,Rekap!D132,Test!$AI:$AI),IF($M$2="08",SUMIF(Test!$D:$D,Rekap!D132,Test!$AJ:$AJ),IF($M$2="09",SUMIF(Test!$D:$D,Rekap!D132,Test!$AK:$AK),IF($M$2="10",SUMIF(Test!$D:$D,Rekap!D132,Test!$AL:$AL),IF($M$2="11",SUMIF(Test!$D:$D,Rekap!D132,Test!$AM:$AM),IF($M$2="12",SUMIF(Test!$D:$D,Rekap!D132,Test!$AN:$AN),0))))))))))))</f>
        <v>12</v>
      </c>
    </row>
    <row r="133" spans="1:13" ht="15" customHeight="1" x14ac:dyDescent="0.25">
      <c r="A133" s="26">
        <v>127</v>
      </c>
      <c r="B133" s="27" t="str">
        <f>Absensi!B131</f>
        <v>Kebayoran Lama</v>
      </c>
      <c r="C133" s="27" t="str">
        <f>Absensi!C131</f>
        <v>Mahesa</v>
      </c>
      <c r="D133" s="27" t="str">
        <f t="shared" si="1"/>
        <v>Kebayoran LamaMahesa</v>
      </c>
      <c r="E133" s="1">
        <f>COUNTIFS(Absensi!$D131:$ND131,Rekap!E$6,Absensi!$D$2:$ND$2,$M$2)</f>
        <v>0</v>
      </c>
      <c r="F133" s="1">
        <f>COUNTIFS(Absensi!$D131:$ND131,Rekap!F$6,Absensi!$D$2:$ND$2,$M$2)</f>
        <v>0</v>
      </c>
      <c r="G133" s="1">
        <f>COUNTIFS(Absensi!$D131:$ND131,Rekap!G$6,Absensi!$D$2:$ND$2,$M$2)</f>
        <v>0</v>
      </c>
      <c r="H133" s="1">
        <f>COUNTIFS(Absensi!$D131:$ND131,Rekap!H$6,Absensi!$D$2:$ND$2,$M$2)</f>
        <v>0</v>
      </c>
      <c r="I133" s="1">
        <f>COUNTIFS(Absensi!$D131:$ND131,Rekap!I$6,Absensi!$D$2:$ND$2,$M$2)</f>
        <v>0</v>
      </c>
      <c r="J133" s="1">
        <f>COUNTIFS(Absensi!$D131:$ND131,Rekap!J$6,Absensi!$D$2:$ND$2,$M$2)</f>
        <v>0</v>
      </c>
      <c r="K133" s="1"/>
      <c r="L133" s="1"/>
      <c r="M133" s="47">
        <f>IF($M$2="01",SUMIF(Test!$D:$D,Rekap!D133,Test!$AC:$AC),IF($M$2="02",SUMIF(Test!$D:$D,Rekap!D133,Test!$AD:$AD),IF($M$2="03",SUMIF(Test!$D:$D,Rekap!D133,Test!$AE:$AE),IF($M$2="04",SUMIF(Test!$D:$D,Rekap!D133,Test!$AF:$AF),IF($M$2="05",SUMIF(Test!$D:$D,Rekap!D133,Test!$AG:$AG),IF($M$2="06",SUMIF(Test!$D:$D,Rekap!D133,Test!$AH:$AH),IF($M$2="07",SUMIF(Test!$D:$D,Rekap!D133,Test!$AI:$AI),IF($M$2="08",SUMIF(Test!$D:$D,Rekap!D133,Test!$AJ:$AJ),IF($M$2="09",SUMIF(Test!$D:$D,Rekap!D133,Test!$AK:$AK),IF($M$2="10",SUMIF(Test!$D:$D,Rekap!D133,Test!$AL:$AL),IF($M$2="11",SUMIF(Test!$D:$D,Rekap!D133,Test!$AM:$AM),IF($M$2="12",SUMIF(Test!$D:$D,Rekap!D133,Test!$AN:$AN),0))))))))))))</f>
        <v>12</v>
      </c>
    </row>
    <row r="134" spans="1:13" ht="15" customHeight="1" x14ac:dyDescent="0.25">
      <c r="A134" s="26">
        <v>128</v>
      </c>
      <c r="B134" s="27" t="str">
        <f>Absensi!B132</f>
        <v>Kebayoran Lama</v>
      </c>
      <c r="C134" s="27" t="str">
        <f>Absensi!C132</f>
        <v>M. Yasir Ubaidilla</v>
      </c>
      <c r="D134" s="27" t="str">
        <f t="shared" si="1"/>
        <v>Kebayoran LamaM. Yasir Ubaidilla</v>
      </c>
      <c r="E134" s="1">
        <f>COUNTIFS(Absensi!$D132:$ND132,Rekap!E$6,Absensi!$D$2:$ND$2,$M$2)</f>
        <v>0</v>
      </c>
      <c r="F134" s="1">
        <f>COUNTIFS(Absensi!$D132:$ND132,Rekap!F$6,Absensi!$D$2:$ND$2,$M$2)</f>
        <v>0</v>
      </c>
      <c r="G134" s="1">
        <f>COUNTIFS(Absensi!$D132:$ND132,Rekap!G$6,Absensi!$D$2:$ND$2,$M$2)</f>
        <v>0</v>
      </c>
      <c r="H134" s="1">
        <f>COUNTIFS(Absensi!$D132:$ND132,Rekap!H$6,Absensi!$D$2:$ND$2,$M$2)</f>
        <v>0</v>
      </c>
      <c r="I134" s="1">
        <f>COUNTIFS(Absensi!$D132:$ND132,Rekap!I$6,Absensi!$D$2:$ND$2,$M$2)</f>
        <v>0</v>
      </c>
      <c r="J134" s="1">
        <f>COUNTIFS(Absensi!$D132:$ND132,Rekap!J$6,Absensi!$D$2:$ND$2,$M$2)</f>
        <v>0</v>
      </c>
      <c r="K134" s="1"/>
      <c r="L134" s="1"/>
      <c r="M134" s="47">
        <f>IF($M$2="01",SUMIF(Test!$D:$D,Rekap!D134,Test!$AC:$AC),IF($M$2="02",SUMIF(Test!$D:$D,Rekap!D134,Test!$AD:$AD),IF($M$2="03",SUMIF(Test!$D:$D,Rekap!D134,Test!$AE:$AE),IF($M$2="04",SUMIF(Test!$D:$D,Rekap!D134,Test!$AF:$AF),IF($M$2="05",SUMIF(Test!$D:$D,Rekap!D134,Test!$AG:$AG),IF($M$2="06",SUMIF(Test!$D:$D,Rekap!D134,Test!$AH:$AH),IF($M$2="07",SUMIF(Test!$D:$D,Rekap!D134,Test!$AI:$AI),IF($M$2="08",SUMIF(Test!$D:$D,Rekap!D134,Test!$AJ:$AJ),IF($M$2="09",SUMIF(Test!$D:$D,Rekap!D134,Test!$AK:$AK),IF($M$2="10",SUMIF(Test!$D:$D,Rekap!D134,Test!$AL:$AL),IF($M$2="11",SUMIF(Test!$D:$D,Rekap!D134,Test!$AM:$AM),IF($M$2="12",SUMIF(Test!$D:$D,Rekap!D134,Test!$AN:$AN),0))))))))))))</f>
        <v>0</v>
      </c>
    </row>
    <row r="135" spans="1:13" ht="15" customHeight="1" x14ac:dyDescent="0.25">
      <c r="A135" s="26">
        <v>129</v>
      </c>
      <c r="B135" s="27" t="str">
        <f>Absensi!B133</f>
        <v>Kebayoran Lama</v>
      </c>
      <c r="C135" s="27" t="str">
        <f>Absensi!C133</f>
        <v>Gozali Nurdin</v>
      </c>
      <c r="D135" s="27" t="str">
        <f t="shared" si="1"/>
        <v>Kebayoran LamaGozali Nurdin</v>
      </c>
      <c r="E135" s="1">
        <f>COUNTIFS(Absensi!$D133:$ND133,Rekap!E$6,Absensi!$D$2:$ND$2,$M$2)</f>
        <v>0</v>
      </c>
      <c r="F135" s="1">
        <f>COUNTIFS(Absensi!$D133:$ND133,Rekap!F$6,Absensi!$D$2:$ND$2,$M$2)</f>
        <v>0</v>
      </c>
      <c r="G135" s="1">
        <f>COUNTIFS(Absensi!$D133:$ND133,Rekap!G$6,Absensi!$D$2:$ND$2,$M$2)</f>
        <v>0</v>
      </c>
      <c r="H135" s="1">
        <f>COUNTIFS(Absensi!$D133:$ND133,Rekap!H$6,Absensi!$D$2:$ND$2,$M$2)</f>
        <v>0</v>
      </c>
      <c r="I135" s="1">
        <f>COUNTIFS(Absensi!$D133:$ND133,Rekap!I$6,Absensi!$D$2:$ND$2,$M$2)</f>
        <v>0</v>
      </c>
      <c r="J135" s="1">
        <f>COUNTIFS(Absensi!$D133:$ND133,Rekap!J$6,Absensi!$D$2:$ND$2,$M$2)</f>
        <v>0</v>
      </c>
      <c r="K135" s="1"/>
      <c r="L135" s="1"/>
      <c r="M135" s="47">
        <f>IF($M$2="01",SUMIF(Test!$D:$D,Rekap!D135,Test!$AC:$AC),IF($M$2="02",SUMIF(Test!$D:$D,Rekap!D135,Test!$AD:$AD),IF($M$2="03",SUMIF(Test!$D:$D,Rekap!D135,Test!$AE:$AE),IF($M$2="04",SUMIF(Test!$D:$D,Rekap!D135,Test!$AF:$AF),IF($M$2="05",SUMIF(Test!$D:$D,Rekap!D135,Test!$AG:$AG),IF($M$2="06",SUMIF(Test!$D:$D,Rekap!D135,Test!$AH:$AH),IF($M$2="07",SUMIF(Test!$D:$D,Rekap!D135,Test!$AI:$AI),IF($M$2="08",SUMIF(Test!$D:$D,Rekap!D135,Test!$AJ:$AJ),IF($M$2="09",SUMIF(Test!$D:$D,Rekap!D135,Test!$AK:$AK),IF($M$2="10",SUMIF(Test!$D:$D,Rekap!D135,Test!$AL:$AL),IF($M$2="11",SUMIF(Test!$D:$D,Rekap!D135,Test!$AM:$AM),IF($M$2="12",SUMIF(Test!$D:$D,Rekap!D135,Test!$AN:$AN),0))))))))))))</f>
        <v>12</v>
      </c>
    </row>
    <row r="136" spans="1:13" ht="15" customHeight="1" x14ac:dyDescent="0.25">
      <c r="A136" s="26">
        <v>130</v>
      </c>
      <c r="B136" s="27" t="str">
        <f>Absensi!B134</f>
        <v>Kebayoran Lama</v>
      </c>
      <c r="C136" s="27" t="str">
        <f>Absensi!C134</f>
        <v>Rama Ali</v>
      </c>
      <c r="D136" s="27" t="str">
        <f t="shared" ref="D136:D147" si="2">B136&amp;C136</f>
        <v>Kebayoran LamaRama Ali</v>
      </c>
      <c r="E136" s="1">
        <f>COUNTIFS(Absensi!$D134:$ND134,Rekap!E$6,Absensi!$D$2:$ND$2,$M$2)</f>
        <v>0</v>
      </c>
      <c r="F136" s="1">
        <f>COUNTIFS(Absensi!$D134:$ND134,Rekap!F$6,Absensi!$D$2:$ND$2,$M$2)</f>
        <v>0</v>
      </c>
      <c r="G136" s="1">
        <f>COUNTIFS(Absensi!$D134:$ND134,Rekap!G$6,Absensi!$D$2:$ND$2,$M$2)</f>
        <v>0</v>
      </c>
      <c r="H136" s="1">
        <f>COUNTIFS(Absensi!$D134:$ND134,Rekap!H$6,Absensi!$D$2:$ND$2,$M$2)</f>
        <v>0</v>
      </c>
      <c r="I136" s="1">
        <f>COUNTIFS(Absensi!$D134:$ND134,Rekap!I$6,Absensi!$D$2:$ND$2,$M$2)</f>
        <v>0</v>
      </c>
      <c r="J136" s="1">
        <f>COUNTIFS(Absensi!$D134:$ND134,Rekap!J$6,Absensi!$D$2:$ND$2,$M$2)</f>
        <v>0</v>
      </c>
      <c r="K136" s="1"/>
      <c r="L136" s="1"/>
      <c r="M136" s="47">
        <f>IF($M$2="01",SUMIF(Test!$D:$D,Rekap!D136,Test!$AC:$AC),IF($M$2="02",SUMIF(Test!$D:$D,Rekap!D136,Test!$AD:$AD),IF($M$2="03",SUMIF(Test!$D:$D,Rekap!D136,Test!$AE:$AE),IF($M$2="04",SUMIF(Test!$D:$D,Rekap!D136,Test!$AF:$AF),IF($M$2="05",SUMIF(Test!$D:$D,Rekap!D136,Test!$AG:$AG),IF($M$2="06",SUMIF(Test!$D:$D,Rekap!D136,Test!$AH:$AH),IF($M$2="07",SUMIF(Test!$D:$D,Rekap!D136,Test!$AI:$AI),IF($M$2="08",SUMIF(Test!$D:$D,Rekap!D136,Test!$AJ:$AJ),IF($M$2="09",SUMIF(Test!$D:$D,Rekap!D136,Test!$AK:$AK),IF($M$2="10",SUMIF(Test!$D:$D,Rekap!D136,Test!$AL:$AL),IF($M$2="11",SUMIF(Test!$D:$D,Rekap!D136,Test!$AM:$AM),IF($M$2="12",SUMIF(Test!$D:$D,Rekap!D136,Test!$AN:$AN),0))))))))))))</f>
        <v>6</v>
      </c>
    </row>
    <row r="137" spans="1:13" ht="15" customHeight="1" x14ac:dyDescent="0.25">
      <c r="A137" s="26">
        <v>131</v>
      </c>
      <c r="B137" s="27" t="str">
        <f>Absensi!B135</f>
        <v>Fishroom</v>
      </c>
      <c r="C137" s="27" t="str">
        <f>Absensi!C135</f>
        <v>Agus Triyana</v>
      </c>
      <c r="D137" s="27" t="str">
        <f t="shared" si="2"/>
        <v>FishroomAgus Triyana</v>
      </c>
      <c r="E137" s="1">
        <f>COUNTIFS(Absensi!$D135:$ND135,Rekap!E$6,Absensi!$D$2:$ND$2,$M$2)</f>
        <v>0</v>
      </c>
      <c r="F137" s="1">
        <f>COUNTIFS(Absensi!$D135:$ND135,Rekap!F$6,Absensi!$D$2:$ND$2,$M$2)</f>
        <v>5</v>
      </c>
      <c r="G137" s="1">
        <f>COUNTIFS(Absensi!$D135:$ND135,Rekap!G$6,Absensi!$D$2:$ND$2,$M$2)</f>
        <v>0</v>
      </c>
      <c r="H137" s="1">
        <f>COUNTIFS(Absensi!$D135:$ND135,Rekap!H$6,Absensi!$D$2:$ND$2,$M$2)</f>
        <v>0</v>
      </c>
      <c r="I137" s="1">
        <f>COUNTIFS(Absensi!$D135:$ND135,Rekap!I$6,Absensi!$D$2:$ND$2,$M$2)</f>
        <v>0</v>
      </c>
      <c r="J137" s="1">
        <f>COUNTIFS(Absensi!$D135:$ND135,Rekap!J$6,Absensi!$D$2:$ND$2,$M$2)</f>
        <v>0</v>
      </c>
      <c r="K137" s="1"/>
      <c r="L137" s="1"/>
      <c r="M137" s="47">
        <f>IF($M$2="01",SUMIF(Test!$D:$D,Rekap!D137,Test!$AC:$AC),IF($M$2="02",SUMIF(Test!$D:$D,Rekap!D137,Test!$AD:$AD),IF($M$2="03",SUMIF(Test!$D:$D,Rekap!D137,Test!$AE:$AE),IF($M$2="04",SUMIF(Test!$D:$D,Rekap!D137,Test!$AF:$AF),IF($M$2="05",SUMIF(Test!$D:$D,Rekap!D137,Test!$AG:$AG),IF($M$2="06",SUMIF(Test!$D:$D,Rekap!D137,Test!$AH:$AH),IF($M$2="07",SUMIF(Test!$D:$D,Rekap!D137,Test!$AI:$AI),IF($M$2="08",SUMIF(Test!$D:$D,Rekap!D137,Test!$AJ:$AJ),IF($M$2="09",SUMIF(Test!$D:$D,Rekap!D137,Test!$AK:$AK),IF($M$2="10",SUMIF(Test!$D:$D,Rekap!D137,Test!$AL:$AL),IF($M$2="11",SUMIF(Test!$D:$D,Rekap!D137,Test!$AM:$AM),IF($M$2="12",SUMIF(Test!$D:$D,Rekap!D137,Test!$AN:$AN),0))))))))))))</f>
        <v>-8</v>
      </c>
    </row>
    <row r="138" spans="1:13" ht="15" customHeight="1" x14ac:dyDescent="0.25">
      <c r="A138" s="26">
        <v>132</v>
      </c>
      <c r="B138" s="27" t="str">
        <f>Absensi!B136</f>
        <v>Kebayoran Lama</v>
      </c>
      <c r="C138" s="27" t="str">
        <f>Absensi!C136</f>
        <v>Samsul Muarip</v>
      </c>
      <c r="D138" s="27" t="str">
        <f t="shared" si="2"/>
        <v>Kebayoran LamaSamsul Muarip</v>
      </c>
      <c r="E138" s="1">
        <f>COUNTIFS(Absensi!$D136:$ND136,Rekap!E$6,Absensi!$D$2:$ND$2,$M$2)</f>
        <v>0</v>
      </c>
      <c r="F138" s="1">
        <f>COUNTIFS(Absensi!$D136:$ND136,Rekap!F$6,Absensi!$D$2:$ND$2,$M$2)</f>
        <v>1</v>
      </c>
      <c r="G138" s="1">
        <f>COUNTIFS(Absensi!$D136:$ND136,Rekap!G$6,Absensi!$D$2:$ND$2,$M$2)</f>
        <v>0</v>
      </c>
      <c r="H138" s="1">
        <f>COUNTIFS(Absensi!$D136:$ND136,Rekap!H$6,Absensi!$D$2:$ND$2,$M$2)</f>
        <v>0</v>
      </c>
      <c r="I138" s="1">
        <f>COUNTIFS(Absensi!$D136:$ND136,Rekap!I$6,Absensi!$D$2:$ND$2,$M$2)</f>
        <v>0</v>
      </c>
      <c r="J138" s="1">
        <f>COUNTIFS(Absensi!$D136:$ND136,Rekap!J$6,Absensi!$D$2:$ND$2,$M$2)</f>
        <v>0</v>
      </c>
      <c r="K138" s="1"/>
      <c r="L138" s="1"/>
      <c r="M138" s="47">
        <f>IF($M$2="01",SUMIF(Test!$D:$D,Rekap!D138,Test!$AC:$AC),IF($M$2="02",SUMIF(Test!$D:$D,Rekap!D138,Test!$AD:$AD),IF($M$2="03",SUMIF(Test!$D:$D,Rekap!D138,Test!$AE:$AE),IF($M$2="04",SUMIF(Test!$D:$D,Rekap!D138,Test!$AF:$AF),IF($M$2="05",SUMIF(Test!$D:$D,Rekap!D138,Test!$AG:$AG),IF($M$2="06",SUMIF(Test!$D:$D,Rekap!D138,Test!$AH:$AH),IF($M$2="07",SUMIF(Test!$D:$D,Rekap!D138,Test!$AI:$AI),IF($M$2="08",SUMIF(Test!$D:$D,Rekap!D138,Test!$AJ:$AJ),IF($M$2="09",SUMIF(Test!$D:$D,Rekap!D138,Test!$AK:$AK),IF($M$2="10",SUMIF(Test!$D:$D,Rekap!D138,Test!$AL:$AL),IF($M$2="11",SUMIF(Test!$D:$D,Rekap!D138,Test!$AM:$AM),IF($M$2="12",SUMIF(Test!$D:$D,Rekap!D138,Test!$AN:$AN),0))))))))))))</f>
        <v>-2</v>
      </c>
    </row>
    <row r="139" spans="1:13" ht="15" customHeight="1" x14ac:dyDescent="0.25">
      <c r="A139" s="26">
        <v>133</v>
      </c>
      <c r="B139" s="27" t="str">
        <f>Absensi!B137</f>
        <v>Kebayoran Lama</v>
      </c>
      <c r="C139" s="27" t="str">
        <f>Absensi!C137</f>
        <v>Ahmad Andhika Pratama</v>
      </c>
      <c r="D139" s="27" t="str">
        <f t="shared" si="2"/>
        <v>Kebayoran LamaAhmad Andhika Pratama</v>
      </c>
      <c r="E139" s="1">
        <f>COUNTIFS(Absensi!$D137:$ND137,Rekap!E$6,Absensi!$D$2:$ND$2,$M$2)</f>
        <v>0</v>
      </c>
      <c r="F139" s="1">
        <f>COUNTIFS(Absensi!$D137:$ND137,Rekap!F$6,Absensi!$D$2:$ND$2,$M$2)</f>
        <v>0</v>
      </c>
      <c r="G139" s="1">
        <f>COUNTIFS(Absensi!$D137:$ND137,Rekap!G$6,Absensi!$D$2:$ND$2,$M$2)</f>
        <v>0</v>
      </c>
      <c r="H139" s="1">
        <f>COUNTIFS(Absensi!$D137:$ND137,Rekap!H$6,Absensi!$D$2:$ND$2,$M$2)</f>
        <v>0</v>
      </c>
      <c r="I139" s="1">
        <f>COUNTIFS(Absensi!$D137:$ND137,Rekap!I$6,Absensi!$D$2:$ND$2,$M$2)</f>
        <v>0</v>
      </c>
      <c r="J139" s="1">
        <f>COUNTIFS(Absensi!$D137:$ND137,Rekap!J$6,Absensi!$D$2:$ND$2,$M$2)</f>
        <v>0</v>
      </c>
      <c r="K139" s="1"/>
      <c r="L139" s="1"/>
      <c r="M139" s="47">
        <f>IF($M$2="01",SUMIF(Test!$D:$D,Rekap!D139,Test!$AC:$AC),IF($M$2="02",SUMIF(Test!$D:$D,Rekap!D139,Test!$AD:$AD),IF($M$2="03",SUMIF(Test!$D:$D,Rekap!D139,Test!$AE:$AE),IF($M$2="04",SUMIF(Test!$D:$D,Rekap!D139,Test!$AF:$AF),IF($M$2="05",SUMIF(Test!$D:$D,Rekap!D139,Test!$AG:$AG),IF($M$2="06",SUMIF(Test!$D:$D,Rekap!D139,Test!$AH:$AH),IF($M$2="07",SUMIF(Test!$D:$D,Rekap!D139,Test!$AI:$AI),IF($M$2="08",SUMIF(Test!$D:$D,Rekap!D139,Test!$AJ:$AJ),IF($M$2="09",SUMIF(Test!$D:$D,Rekap!D139,Test!$AK:$AK),IF($M$2="10",SUMIF(Test!$D:$D,Rekap!D139,Test!$AL:$AL),IF($M$2="11",SUMIF(Test!$D:$D,Rekap!D139,Test!$AM:$AM),IF($M$2="12",SUMIF(Test!$D:$D,Rekap!D139,Test!$AN:$AN),0))))))))))))</f>
        <v>12</v>
      </c>
    </row>
    <row r="140" spans="1:13" ht="15" customHeight="1" x14ac:dyDescent="0.25">
      <c r="A140" s="26">
        <v>134</v>
      </c>
      <c r="B140" s="27" t="str">
        <f>Absensi!B138</f>
        <v>Kebayoran Lama</v>
      </c>
      <c r="C140" s="27" t="str">
        <f>Absensi!C138</f>
        <v>Yon Ali</v>
      </c>
      <c r="D140" s="27" t="str">
        <f t="shared" si="2"/>
        <v>Kebayoran LamaYon Ali</v>
      </c>
      <c r="E140" s="1">
        <f>COUNTIFS(Absensi!$D138:$ND138,Rekap!E$6,Absensi!$D$2:$ND$2,$M$2)</f>
        <v>0</v>
      </c>
      <c r="F140" s="1">
        <f>COUNTIFS(Absensi!$D138:$ND138,Rekap!F$6,Absensi!$D$2:$ND$2,$M$2)</f>
        <v>0</v>
      </c>
      <c r="G140" s="1">
        <f>COUNTIFS(Absensi!$D138:$ND138,Rekap!G$6,Absensi!$D$2:$ND$2,$M$2)</f>
        <v>0</v>
      </c>
      <c r="H140" s="1">
        <f>COUNTIFS(Absensi!$D138:$ND138,Rekap!H$6,Absensi!$D$2:$ND$2,$M$2)</f>
        <v>0</v>
      </c>
      <c r="I140" s="1">
        <f>COUNTIFS(Absensi!$D138:$ND138,Rekap!I$6,Absensi!$D$2:$ND$2,$M$2)</f>
        <v>0</v>
      </c>
      <c r="J140" s="1">
        <f>COUNTIFS(Absensi!$D138:$ND138,Rekap!J$6,Absensi!$D$2:$ND$2,$M$2)</f>
        <v>0</v>
      </c>
      <c r="K140" s="1"/>
      <c r="L140" s="1"/>
      <c r="M140" s="47">
        <f>IF($M$2="01",SUMIF(Test!$D:$D,Rekap!D140,Test!$AC:$AC),IF($M$2="02",SUMIF(Test!$D:$D,Rekap!D140,Test!$AD:$AD),IF($M$2="03",SUMIF(Test!$D:$D,Rekap!D140,Test!$AE:$AE),IF($M$2="04",SUMIF(Test!$D:$D,Rekap!D140,Test!$AF:$AF),IF($M$2="05",SUMIF(Test!$D:$D,Rekap!D140,Test!$AG:$AG),IF($M$2="06",SUMIF(Test!$D:$D,Rekap!D140,Test!$AH:$AH),IF($M$2="07",SUMIF(Test!$D:$D,Rekap!D140,Test!$AI:$AI),IF($M$2="08",SUMIF(Test!$D:$D,Rekap!D140,Test!$AJ:$AJ),IF($M$2="09",SUMIF(Test!$D:$D,Rekap!D140,Test!$AK:$AK),IF($M$2="10",SUMIF(Test!$D:$D,Rekap!D140,Test!$AL:$AL),IF($M$2="11",SUMIF(Test!$D:$D,Rekap!D140,Test!$AM:$AM),IF($M$2="12",SUMIF(Test!$D:$D,Rekap!D140,Test!$AN:$AN),0))))))))))))</f>
        <v>0</v>
      </c>
    </row>
    <row r="141" spans="1:13" ht="15" customHeight="1" x14ac:dyDescent="0.25">
      <c r="A141" s="26">
        <v>135</v>
      </c>
      <c r="B141" s="27" t="str">
        <f>Absensi!B139</f>
        <v>Kebayoran Lama</v>
      </c>
      <c r="C141" s="27" t="str">
        <f>Absensi!C139</f>
        <v>Ahmad Aji Jabbar</v>
      </c>
      <c r="D141" s="27" t="str">
        <f t="shared" si="2"/>
        <v>Kebayoran LamaAhmad Aji Jabbar</v>
      </c>
      <c r="E141" s="1">
        <f>COUNTIFS(Absensi!$D139:$ND139,Rekap!E$6,Absensi!$D$2:$ND$2,$M$2)</f>
        <v>0</v>
      </c>
      <c r="F141" s="1">
        <f>COUNTIFS(Absensi!$D139:$ND139,Rekap!F$6,Absensi!$D$2:$ND$2,$M$2)</f>
        <v>0</v>
      </c>
      <c r="G141" s="1">
        <f>COUNTIFS(Absensi!$D139:$ND139,Rekap!G$6,Absensi!$D$2:$ND$2,$M$2)</f>
        <v>0</v>
      </c>
      <c r="H141" s="1">
        <f>COUNTIFS(Absensi!$D139:$ND139,Rekap!H$6,Absensi!$D$2:$ND$2,$M$2)</f>
        <v>0</v>
      </c>
      <c r="I141" s="1">
        <f>COUNTIFS(Absensi!$D139:$ND139,Rekap!I$6,Absensi!$D$2:$ND$2,$M$2)</f>
        <v>0</v>
      </c>
      <c r="J141" s="1">
        <f>COUNTIFS(Absensi!$D139:$ND139,Rekap!J$6,Absensi!$D$2:$ND$2,$M$2)</f>
        <v>0</v>
      </c>
      <c r="K141" s="1"/>
      <c r="L141" s="1"/>
      <c r="M141" s="47">
        <f>IF($M$2="01",SUMIF(Test!$D:$D,Rekap!D141,Test!$AC:$AC),IF($M$2="02",SUMIF(Test!$D:$D,Rekap!D141,Test!$AD:$AD),IF($M$2="03",SUMIF(Test!$D:$D,Rekap!D141,Test!$AE:$AE),IF($M$2="04",SUMIF(Test!$D:$D,Rekap!D141,Test!$AF:$AF),IF($M$2="05",SUMIF(Test!$D:$D,Rekap!D141,Test!$AG:$AG),IF($M$2="06",SUMIF(Test!$D:$D,Rekap!D141,Test!$AH:$AH),IF($M$2="07",SUMIF(Test!$D:$D,Rekap!D141,Test!$AI:$AI),IF($M$2="08",SUMIF(Test!$D:$D,Rekap!D141,Test!$AJ:$AJ),IF($M$2="09",SUMIF(Test!$D:$D,Rekap!D141,Test!$AK:$AK),IF($M$2="10",SUMIF(Test!$D:$D,Rekap!D141,Test!$AL:$AL),IF($M$2="11",SUMIF(Test!$D:$D,Rekap!D141,Test!$AM:$AM),IF($M$2="12",SUMIF(Test!$D:$D,Rekap!D141,Test!$AN:$AN),0))))))))))))</f>
        <v>0</v>
      </c>
    </row>
    <row r="142" spans="1:13" ht="15" customHeight="1" x14ac:dyDescent="0.25">
      <c r="A142" s="26">
        <v>136</v>
      </c>
      <c r="B142" s="27" t="str">
        <f>Absensi!B140</f>
        <v>Kebayoran Lama</v>
      </c>
      <c r="C142" s="27" t="str">
        <f>Absensi!C140</f>
        <v>Desta Indrawan</v>
      </c>
      <c r="D142" s="27" t="str">
        <f t="shared" si="2"/>
        <v>Kebayoran LamaDesta Indrawan</v>
      </c>
      <c r="E142" s="1">
        <f>COUNTIFS(Absensi!$D140:$ND140,Rekap!E$6,Absensi!$D$2:$ND$2,$M$2)</f>
        <v>0</v>
      </c>
      <c r="F142" s="1">
        <f>COUNTIFS(Absensi!$D140:$ND140,Rekap!F$6,Absensi!$D$2:$ND$2,$M$2)</f>
        <v>0</v>
      </c>
      <c r="G142" s="1">
        <f>COUNTIFS(Absensi!$D140:$ND140,Rekap!G$6,Absensi!$D$2:$ND$2,$M$2)</f>
        <v>0</v>
      </c>
      <c r="H142" s="1">
        <f>COUNTIFS(Absensi!$D140:$ND140,Rekap!H$6,Absensi!$D$2:$ND$2,$M$2)</f>
        <v>0</v>
      </c>
      <c r="I142" s="1">
        <f>COUNTIFS(Absensi!$D140:$ND140,Rekap!I$6,Absensi!$D$2:$ND$2,$M$2)</f>
        <v>0</v>
      </c>
      <c r="J142" s="1">
        <f>COUNTIFS(Absensi!$D140:$ND140,Rekap!J$6,Absensi!$D$2:$ND$2,$M$2)</f>
        <v>0</v>
      </c>
      <c r="K142" s="1"/>
      <c r="L142" s="1"/>
      <c r="M142" s="47">
        <f>IF($M$2="01",SUMIF(Test!$D:$D,Rekap!D142,Test!$AC:$AC),IF($M$2="02",SUMIF(Test!$D:$D,Rekap!D142,Test!$AD:$AD),IF($M$2="03",SUMIF(Test!$D:$D,Rekap!D142,Test!$AE:$AE),IF($M$2="04",SUMIF(Test!$D:$D,Rekap!D142,Test!$AF:$AF),IF($M$2="05",SUMIF(Test!$D:$D,Rekap!D142,Test!$AG:$AG),IF($M$2="06",SUMIF(Test!$D:$D,Rekap!D142,Test!$AH:$AH),IF($M$2="07",SUMIF(Test!$D:$D,Rekap!D142,Test!$AI:$AI),IF($M$2="08",SUMIF(Test!$D:$D,Rekap!D142,Test!$AJ:$AJ),IF($M$2="09",SUMIF(Test!$D:$D,Rekap!D142,Test!$AK:$AK),IF($M$2="10",SUMIF(Test!$D:$D,Rekap!D142,Test!$AL:$AL),IF($M$2="11",SUMIF(Test!$D:$D,Rekap!D142,Test!$AM:$AM),IF($M$2="12",SUMIF(Test!$D:$D,Rekap!D142,Test!$AN:$AN),0))))))))))))</f>
        <v>0</v>
      </c>
    </row>
    <row r="143" spans="1:13" ht="15" customHeight="1" x14ac:dyDescent="0.25">
      <c r="A143" s="26">
        <v>137</v>
      </c>
      <c r="B143" s="27" t="str">
        <f>Absensi!B141</f>
        <v>Kebayoran Lama</v>
      </c>
      <c r="C143" s="27" t="str">
        <f>Absensi!C141</f>
        <v>Taswin</v>
      </c>
      <c r="D143" s="27" t="str">
        <f t="shared" si="2"/>
        <v>Kebayoran LamaTaswin</v>
      </c>
      <c r="E143" s="1">
        <f>COUNTIFS(Absensi!$D141:$ND141,Rekap!E$6,Absensi!$D$2:$ND$2,$M$2)</f>
        <v>0</v>
      </c>
      <c r="F143" s="1">
        <f>COUNTIFS(Absensi!$D141:$ND141,Rekap!F$6,Absensi!$D$2:$ND$2,$M$2)</f>
        <v>0</v>
      </c>
      <c r="G143" s="1">
        <f>COUNTIFS(Absensi!$D141:$ND141,Rekap!G$6,Absensi!$D$2:$ND$2,$M$2)</f>
        <v>0</v>
      </c>
      <c r="H143" s="1">
        <f>COUNTIFS(Absensi!$D141:$ND141,Rekap!H$6,Absensi!$D$2:$ND$2,$M$2)</f>
        <v>0</v>
      </c>
      <c r="I143" s="1">
        <f>COUNTIFS(Absensi!$D141:$ND141,Rekap!I$6,Absensi!$D$2:$ND$2,$M$2)</f>
        <v>0</v>
      </c>
      <c r="J143" s="1">
        <f>COUNTIFS(Absensi!$D141:$ND141,Rekap!J$6,Absensi!$D$2:$ND$2,$M$2)</f>
        <v>0</v>
      </c>
      <c r="K143" s="1"/>
      <c r="L143" s="1"/>
      <c r="M143" s="47">
        <f>IF($M$2="01",SUMIF(Test!$D:$D,Rekap!D143,Test!$AC:$AC),IF($M$2="02",SUMIF(Test!$D:$D,Rekap!D143,Test!$AD:$AD),IF($M$2="03",SUMIF(Test!$D:$D,Rekap!D143,Test!$AE:$AE),IF($M$2="04",SUMIF(Test!$D:$D,Rekap!D143,Test!$AF:$AF),IF($M$2="05",SUMIF(Test!$D:$D,Rekap!D143,Test!$AG:$AG),IF($M$2="06",SUMIF(Test!$D:$D,Rekap!D143,Test!$AH:$AH),IF($M$2="07",SUMIF(Test!$D:$D,Rekap!D143,Test!$AI:$AI),IF($M$2="08",SUMIF(Test!$D:$D,Rekap!D143,Test!$AJ:$AJ),IF($M$2="09",SUMIF(Test!$D:$D,Rekap!D143,Test!$AK:$AK),IF($M$2="10",SUMIF(Test!$D:$D,Rekap!D143,Test!$AL:$AL),IF($M$2="11",SUMIF(Test!$D:$D,Rekap!D143,Test!$AM:$AM),IF($M$2="12",SUMIF(Test!$D:$D,Rekap!D143,Test!$AN:$AN),0))))))))))))</f>
        <v>-1</v>
      </c>
    </row>
    <row r="144" spans="1:13" ht="15" customHeight="1" x14ac:dyDescent="0.25">
      <c r="A144" s="26">
        <v>138</v>
      </c>
      <c r="B144" s="27" t="str">
        <f>Absensi!B142</f>
        <v>Kebayoran Lama</v>
      </c>
      <c r="C144" s="27" t="str">
        <f>Absensi!C142</f>
        <v>M. Sapei</v>
      </c>
      <c r="D144" s="27" t="str">
        <f t="shared" si="2"/>
        <v>Kebayoran LamaM. Sapei</v>
      </c>
      <c r="E144" s="1">
        <f>COUNTIFS(Absensi!$D142:$ND142,Rekap!E$6,Absensi!$D$2:$ND$2,$M$2)</f>
        <v>0</v>
      </c>
      <c r="F144" s="1">
        <f>COUNTIFS(Absensi!$D142:$ND142,Rekap!F$6,Absensi!$D$2:$ND$2,$M$2)</f>
        <v>0</v>
      </c>
      <c r="G144" s="1">
        <f>COUNTIFS(Absensi!$D142:$ND142,Rekap!G$6,Absensi!$D$2:$ND$2,$M$2)</f>
        <v>0</v>
      </c>
      <c r="H144" s="1">
        <f>COUNTIFS(Absensi!$D142:$ND142,Rekap!H$6,Absensi!$D$2:$ND$2,$M$2)</f>
        <v>0</v>
      </c>
      <c r="I144" s="1">
        <f>COUNTIFS(Absensi!$D142:$ND142,Rekap!I$6,Absensi!$D$2:$ND$2,$M$2)</f>
        <v>0</v>
      </c>
      <c r="J144" s="1">
        <f>COUNTIFS(Absensi!$D142:$ND142,Rekap!J$6,Absensi!$D$2:$ND$2,$M$2)</f>
        <v>0</v>
      </c>
      <c r="K144" s="1"/>
      <c r="L144" s="1"/>
      <c r="M144" s="47">
        <f>IF($M$2="01",SUMIF(Test!$D:$D,Rekap!D144,Test!$AC:$AC),IF($M$2="02",SUMIF(Test!$D:$D,Rekap!D144,Test!$AD:$AD),IF($M$2="03",SUMIF(Test!$D:$D,Rekap!D144,Test!$AE:$AE),IF($M$2="04",SUMIF(Test!$D:$D,Rekap!D144,Test!$AF:$AF),IF($M$2="05",SUMIF(Test!$D:$D,Rekap!D144,Test!$AG:$AG),IF($M$2="06",SUMIF(Test!$D:$D,Rekap!D144,Test!$AH:$AH),IF($M$2="07",SUMIF(Test!$D:$D,Rekap!D144,Test!$AI:$AI),IF($M$2="08",SUMIF(Test!$D:$D,Rekap!D144,Test!$AJ:$AJ),IF($M$2="09",SUMIF(Test!$D:$D,Rekap!D144,Test!$AK:$AK),IF($M$2="10",SUMIF(Test!$D:$D,Rekap!D144,Test!$AL:$AL),IF($M$2="11",SUMIF(Test!$D:$D,Rekap!D144,Test!$AM:$AM),IF($M$2="12",SUMIF(Test!$D:$D,Rekap!D144,Test!$AN:$AN),0))))))))))))</f>
        <v>-1</v>
      </c>
    </row>
    <row r="145" spans="1:13" ht="15" customHeight="1" x14ac:dyDescent="0.25">
      <c r="A145" s="26">
        <v>139</v>
      </c>
      <c r="B145" s="27" t="str">
        <f>Absensi!B143</f>
        <v>Kebayoran Lama</v>
      </c>
      <c r="C145" s="27" t="str">
        <f>Absensi!C143</f>
        <v>Irgi Ardiansyah</v>
      </c>
      <c r="D145" s="27" t="str">
        <f t="shared" si="2"/>
        <v>Kebayoran LamaIrgi Ardiansyah</v>
      </c>
      <c r="E145" s="1">
        <f>COUNTIFS(Absensi!$D143:$ND143,Rekap!E$6,Absensi!$D$2:$ND$2,$M$2)</f>
        <v>0</v>
      </c>
      <c r="F145" s="1">
        <f>COUNTIFS(Absensi!$D143:$ND143,Rekap!F$6,Absensi!$D$2:$ND$2,$M$2)</f>
        <v>0</v>
      </c>
      <c r="G145" s="1">
        <f>COUNTIFS(Absensi!$D143:$ND143,Rekap!G$6,Absensi!$D$2:$ND$2,$M$2)</f>
        <v>0</v>
      </c>
      <c r="H145" s="1">
        <f>COUNTIFS(Absensi!$D143:$ND143,Rekap!H$6,Absensi!$D$2:$ND$2,$M$2)</f>
        <v>0</v>
      </c>
      <c r="I145" s="1">
        <f>COUNTIFS(Absensi!$D143:$ND143,Rekap!I$6,Absensi!$D$2:$ND$2,$M$2)</f>
        <v>0</v>
      </c>
      <c r="J145" s="1">
        <f>COUNTIFS(Absensi!$D143:$ND143,Rekap!J$6,Absensi!$D$2:$ND$2,$M$2)</f>
        <v>0</v>
      </c>
      <c r="K145" s="1"/>
      <c r="L145" s="1"/>
      <c r="M145" s="47">
        <f>IF($M$2="01",SUMIF(Test!$D:$D,Rekap!D145,Test!$AC:$AC),IF($M$2="02",SUMIF(Test!$D:$D,Rekap!D145,Test!$AD:$AD),IF($M$2="03",SUMIF(Test!$D:$D,Rekap!D145,Test!$AE:$AE),IF($M$2="04",SUMIF(Test!$D:$D,Rekap!D145,Test!$AF:$AF),IF($M$2="05",SUMIF(Test!$D:$D,Rekap!D145,Test!$AG:$AG),IF($M$2="06",SUMIF(Test!$D:$D,Rekap!D145,Test!$AH:$AH),IF($M$2="07",SUMIF(Test!$D:$D,Rekap!D145,Test!$AI:$AI),IF($M$2="08",SUMIF(Test!$D:$D,Rekap!D145,Test!$AJ:$AJ),IF($M$2="09",SUMIF(Test!$D:$D,Rekap!D145,Test!$AK:$AK),IF($M$2="10",SUMIF(Test!$D:$D,Rekap!D145,Test!$AL:$AL),IF($M$2="11",SUMIF(Test!$D:$D,Rekap!D145,Test!$AM:$AM),IF($M$2="12",SUMIF(Test!$D:$D,Rekap!D145,Test!$AN:$AN),0))))))))))))</f>
        <v>0</v>
      </c>
    </row>
    <row r="146" spans="1:13" ht="15" customHeight="1" x14ac:dyDescent="0.25">
      <c r="A146" s="26">
        <v>140</v>
      </c>
      <c r="B146" s="27" t="str">
        <f>Absensi!B144</f>
        <v>Fishroom</v>
      </c>
      <c r="C146" s="27" t="str">
        <f>Absensi!C144</f>
        <v>Rizki Febriansyah</v>
      </c>
      <c r="D146" s="27" t="str">
        <f t="shared" si="2"/>
        <v>FishroomRizki Febriansyah</v>
      </c>
      <c r="E146" s="1">
        <f>COUNTIFS(Absensi!$D144:$ND144,Rekap!E$6,Absensi!$D$2:$ND$2,$M$2)</f>
        <v>0</v>
      </c>
      <c r="F146" s="1">
        <f>COUNTIFS(Absensi!$D144:$ND144,Rekap!F$6,Absensi!$D$2:$ND$2,$M$2)</f>
        <v>0</v>
      </c>
      <c r="G146" s="1">
        <f>COUNTIFS(Absensi!$D144:$ND144,Rekap!G$6,Absensi!$D$2:$ND$2,$M$2)</f>
        <v>0</v>
      </c>
      <c r="H146" s="1">
        <f>COUNTIFS(Absensi!$D144:$ND144,Rekap!H$6,Absensi!$D$2:$ND$2,$M$2)</f>
        <v>0</v>
      </c>
      <c r="I146" s="1">
        <f>COUNTIFS(Absensi!$D144:$ND144,Rekap!I$6,Absensi!$D$2:$ND$2,$M$2)</f>
        <v>0</v>
      </c>
      <c r="J146" s="1">
        <f>COUNTIFS(Absensi!$D144:$ND144,Rekap!J$6,Absensi!$D$2:$ND$2,$M$2)</f>
        <v>0</v>
      </c>
      <c r="K146" s="1"/>
      <c r="L146" s="1"/>
      <c r="M146" s="47">
        <f>IF($M$2="01",SUMIF(Test!$D:$D,Rekap!D146,Test!$AC:$AC),IF($M$2="02",SUMIF(Test!$D:$D,Rekap!D146,Test!$AD:$AD),IF($M$2="03",SUMIF(Test!$D:$D,Rekap!D146,Test!$AE:$AE),IF($M$2="04",SUMIF(Test!$D:$D,Rekap!D146,Test!$AF:$AF),IF($M$2="05",SUMIF(Test!$D:$D,Rekap!D146,Test!$AG:$AG),IF($M$2="06",SUMIF(Test!$D:$D,Rekap!D146,Test!$AH:$AH),IF($M$2="07",SUMIF(Test!$D:$D,Rekap!D146,Test!$AI:$AI),IF($M$2="08",SUMIF(Test!$D:$D,Rekap!D146,Test!$AJ:$AJ),IF($M$2="09",SUMIF(Test!$D:$D,Rekap!D146,Test!$AK:$AK),IF($M$2="10",SUMIF(Test!$D:$D,Rekap!D146,Test!$AL:$AL),IF($M$2="11",SUMIF(Test!$D:$D,Rekap!D146,Test!$AM:$AM),IF($M$2="12",SUMIF(Test!$D:$D,Rekap!D146,Test!$AN:$AN),0))))))))))))</f>
        <v>0</v>
      </c>
    </row>
    <row r="147" spans="1:13" ht="15" customHeight="1" x14ac:dyDescent="0.25">
      <c r="A147" s="26">
        <v>141</v>
      </c>
      <c r="B147" s="27" t="str">
        <f>Absensi!B145</f>
        <v>Bandung</v>
      </c>
      <c r="C147" s="27" t="str">
        <f>Absensi!C145</f>
        <v>Apriliani Lestari</v>
      </c>
      <c r="D147" s="27" t="str">
        <f t="shared" si="2"/>
        <v>BandungApriliani Lestari</v>
      </c>
      <c r="E147" s="1">
        <f>COUNTIFS(Absensi!$D145:$ND145,Rekap!E$6,Absensi!$D$2:$ND$2,$M$2)</f>
        <v>0</v>
      </c>
      <c r="F147" s="1">
        <f>COUNTIFS(Absensi!$D145:$ND145,Rekap!F$6,Absensi!$D$2:$ND$2,$M$2)</f>
        <v>0</v>
      </c>
      <c r="G147" s="1">
        <f>COUNTIFS(Absensi!$D145:$ND145,Rekap!G$6,Absensi!$D$2:$ND$2,$M$2)</f>
        <v>0</v>
      </c>
      <c r="H147" s="1">
        <f>COUNTIFS(Absensi!$D145:$ND145,Rekap!H$6,Absensi!$D$2:$ND$2,$M$2)</f>
        <v>0</v>
      </c>
      <c r="I147" s="1">
        <f>COUNTIFS(Absensi!$D145:$ND145,Rekap!I$6,Absensi!$D$2:$ND$2,$M$2)</f>
        <v>0</v>
      </c>
      <c r="J147" s="1">
        <f>COUNTIFS(Absensi!$D145:$ND145,Rekap!J$6,Absensi!$D$2:$ND$2,$M$2)</f>
        <v>0</v>
      </c>
      <c r="K147" s="1"/>
      <c r="L147" s="1"/>
      <c r="M147" s="47">
        <f>IF($M$2="01",SUMIF(Test!$D:$D,Rekap!D147,Test!$AC:$AC),IF($M$2="02",SUMIF(Test!$D:$D,Rekap!D147,Test!$AD:$AD),IF($M$2="03",SUMIF(Test!$D:$D,Rekap!D147,Test!$AE:$AE),IF($M$2="04",SUMIF(Test!$D:$D,Rekap!D147,Test!$AF:$AF),IF($M$2="05",SUMIF(Test!$D:$D,Rekap!D147,Test!$AG:$AG),IF($M$2="06",SUMIF(Test!$D:$D,Rekap!D147,Test!$AH:$AH),IF($M$2="07",SUMIF(Test!$D:$D,Rekap!D147,Test!$AI:$AI),IF($M$2="08",SUMIF(Test!$D:$D,Rekap!D147,Test!$AJ:$AJ),IF($M$2="09",SUMIF(Test!$D:$D,Rekap!D147,Test!$AK:$AK),IF($M$2="10",SUMIF(Test!$D:$D,Rekap!D147,Test!$AL:$AL),IF($M$2="11",SUMIF(Test!$D:$D,Rekap!D147,Test!$AM:$AM),IF($M$2="12",SUMIF(Test!$D:$D,Rekap!D147,Test!$AN:$AN),0))))))))))))</f>
        <v>0</v>
      </c>
    </row>
    <row r="148" spans="1:13" ht="15" customHeight="1" x14ac:dyDescent="0.25">
      <c r="A148" s="26">
        <v>142</v>
      </c>
      <c r="B148" s="27" t="str">
        <f>Absensi!B146</f>
        <v>Bandung</v>
      </c>
      <c r="C148" s="27" t="str">
        <f>Absensi!C146</f>
        <v xml:space="preserve">Rahman Zaenal </v>
      </c>
      <c r="D148" s="27" t="str">
        <f>B148&amp;C148</f>
        <v xml:space="preserve">BandungRahman Zaenal </v>
      </c>
      <c r="E148" s="1">
        <f>COUNTIFS(Absensi!$D146:$ND146,Rekap!E$6,Absensi!$D$2:$ND$2,$M$2)</f>
        <v>0</v>
      </c>
      <c r="F148" s="1">
        <f>COUNTIFS(Absensi!$D146:$ND146,Rekap!F$6,Absensi!$D$2:$ND$2,$M$2)</f>
        <v>0</v>
      </c>
      <c r="G148" s="1">
        <f>COUNTIFS(Absensi!$D146:$ND146,Rekap!G$6,Absensi!$D$2:$ND$2,$M$2)</f>
        <v>0</v>
      </c>
      <c r="H148" s="1">
        <f>COUNTIFS(Absensi!$D146:$ND146,Rekap!H$6,Absensi!$D$2:$ND$2,$M$2)</f>
        <v>0</v>
      </c>
      <c r="I148" s="1">
        <f>COUNTIFS(Absensi!$D146:$ND146,Rekap!I$6,Absensi!$D$2:$ND$2,$M$2)</f>
        <v>0</v>
      </c>
      <c r="J148" s="1">
        <f>COUNTIFS(Absensi!$D146:$ND146,Rekap!J$6,Absensi!$D$2:$ND$2,$M$2)</f>
        <v>0</v>
      </c>
      <c r="K148" s="1"/>
      <c r="L148" s="1"/>
      <c r="M148" s="47">
        <f>IF($M$2="01",SUMIF(Test!$D:$D,Rekap!D148,Test!$AC:$AC),IF($M$2="02",SUMIF(Test!$D:$D,Rekap!D148,Test!$AD:$AD),IF($M$2="03",SUMIF(Test!$D:$D,Rekap!D148,Test!$AE:$AE),IF($M$2="04",SUMIF(Test!$D:$D,Rekap!D148,Test!$AF:$AF),IF($M$2="05",SUMIF(Test!$D:$D,Rekap!D148,Test!$AG:$AG),IF($M$2="06",SUMIF(Test!$D:$D,Rekap!D148,Test!$AH:$AH),IF($M$2="07",SUMIF(Test!$D:$D,Rekap!D148,Test!$AI:$AI),IF($M$2="08",SUMIF(Test!$D:$D,Rekap!D148,Test!$AJ:$AJ),IF($M$2="09",SUMIF(Test!$D:$D,Rekap!D148,Test!$AK:$AK),IF($M$2="10",SUMIF(Test!$D:$D,Rekap!D148,Test!$AL:$AL),IF($M$2="11",SUMIF(Test!$D:$D,Rekap!D148,Test!$AM:$AM),IF($M$2="12",SUMIF(Test!$D:$D,Rekap!D148,Test!$AN:$AN),0))))))))))))</f>
        <v>7</v>
      </c>
    </row>
    <row r="149" spans="1:13" ht="15" customHeight="1" x14ac:dyDescent="0.25">
      <c r="A149" s="26">
        <v>143</v>
      </c>
      <c r="B149" s="27" t="s">
        <v>230</v>
      </c>
      <c r="C149" s="27" t="s">
        <v>231</v>
      </c>
      <c r="D149" s="27" t="str">
        <f>B149&amp;C149</f>
        <v>Set UpIwa Kartiwa</v>
      </c>
      <c r="E149" s="1">
        <f>COUNTIFS(Absensi!$D147:$ND147,Rekap!E$6,Absensi!$D$2:$ND$2,$M$2)</f>
        <v>0</v>
      </c>
      <c r="F149" s="1">
        <f>COUNTIFS(Absensi!$D147:$ND147,Rekap!F$6,Absensi!$D$2:$ND$2,$M$2)</f>
        <v>0</v>
      </c>
      <c r="G149" s="1">
        <f>COUNTIFS(Absensi!$D147:$ND147,Rekap!G$6,Absensi!$D$2:$ND$2,$M$2)</f>
        <v>0</v>
      </c>
      <c r="H149" s="1">
        <f>COUNTIFS(Absensi!$D147:$ND147,Rekap!H$6,Absensi!$D$2:$ND$2,$M$2)</f>
        <v>0</v>
      </c>
      <c r="I149" s="1">
        <f>COUNTIFS(Absensi!$D147:$ND147,Rekap!I$6,Absensi!$D$2:$ND$2,$M$2)</f>
        <v>0</v>
      </c>
      <c r="J149" s="1">
        <f>COUNTIFS(Absensi!$D147:$ND147,Rekap!J$6,Absensi!$D$2:$ND$2,$M$2)</f>
        <v>0</v>
      </c>
      <c r="K149" s="1"/>
      <c r="L149" s="1"/>
      <c r="M149" s="47">
        <f>IF($M$2="01",SUMIF(Test!$D:$D,Rekap!D149,Test!$AC:$AC),IF($M$2="02",SUMIF(Test!$D:$D,Rekap!D149,Test!$AD:$AD),IF($M$2="03",SUMIF(Test!$D:$D,Rekap!D149,Test!$AE:$AE),IF($M$2="04",SUMIF(Test!$D:$D,Rekap!D149,Test!$AF:$AF),IF($M$2="05",SUMIF(Test!$D:$D,Rekap!D149,Test!$AG:$AG),IF($M$2="06",SUMIF(Test!$D:$D,Rekap!D149,Test!$AH:$AH),IF($M$2="07",SUMIF(Test!$D:$D,Rekap!D149,Test!$AI:$AI),IF($M$2="08",SUMIF(Test!$D:$D,Rekap!D149,Test!$AJ:$AJ),IF($M$2="09",SUMIF(Test!$D:$D,Rekap!D149,Test!$AK:$AK),IF($M$2="10",SUMIF(Test!$D:$D,Rekap!D149,Test!$AL:$AL),IF($M$2="11",SUMIF(Test!$D:$D,Rekap!D149,Test!$AM:$AM),IF($M$2="12",SUMIF(Test!$D:$D,Rekap!D149,Test!$AN:$AN),0))))))))))))</f>
        <v>7</v>
      </c>
    </row>
    <row r="150" spans="1:13" ht="15" customHeight="1" x14ac:dyDescent="0.25">
      <c r="A150" s="26">
        <v>144</v>
      </c>
      <c r="B150" s="27" t="s">
        <v>226</v>
      </c>
      <c r="C150" s="27" t="s">
        <v>235</v>
      </c>
      <c r="D150" s="27" t="str">
        <f>B150&amp;C150</f>
        <v>BandungIbnu Gilang Sasongko</v>
      </c>
      <c r="E150" s="1">
        <f>COUNTIFS(Absensi!$D148:$ND148,Rekap!E$6,Absensi!$D$2:$ND$2,$M$2)</f>
        <v>0</v>
      </c>
      <c r="F150" s="1">
        <f>COUNTIFS(Absensi!$D148:$ND148,Rekap!F$6,Absensi!$D$2:$ND$2,$M$2)</f>
        <v>0</v>
      </c>
      <c r="G150" s="1">
        <f>COUNTIFS(Absensi!$D148:$ND148,Rekap!G$6,Absensi!$D$2:$ND$2,$M$2)</f>
        <v>0</v>
      </c>
      <c r="H150" s="1">
        <f>COUNTIFS(Absensi!$D148:$ND148,Rekap!H$6,Absensi!$D$2:$ND$2,$M$2)</f>
        <v>0</v>
      </c>
      <c r="I150" s="1">
        <f>COUNTIFS(Absensi!$D148:$ND148,Rekap!I$6,Absensi!$D$2:$ND$2,$M$2)</f>
        <v>0</v>
      </c>
      <c r="J150" s="1">
        <f>COUNTIFS(Absensi!$D148:$ND148,Rekap!J$6,Absensi!$D$2:$ND$2,$M$2)</f>
        <v>0</v>
      </c>
      <c r="K150" s="1"/>
      <c r="L150" s="1"/>
      <c r="M150" s="47">
        <f>IF($M$2="01",SUMIF(Test!$D:$D,Rekap!D150,Test!$AC:$AC),IF($M$2="02",SUMIF(Test!$D:$D,Rekap!D150,Test!$AD:$AD),IF($M$2="03",SUMIF(Test!$D:$D,Rekap!D150,Test!$AE:$AE),IF($M$2="04",SUMIF(Test!$D:$D,Rekap!D150,Test!$AF:$AF),IF($M$2="05",SUMIF(Test!$D:$D,Rekap!D150,Test!$AG:$AG),IF($M$2="06",SUMIF(Test!$D:$D,Rekap!D150,Test!$AH:$AH),IF($M$2="07",SUMIF(Test!$D:$D,Rekap!D150,Test!$AI:$AI),IF($M$2="08",SUMIF(Test!$D:$D,Rekap!D150,Test!$AJ:$AJ),IF($M$2="09",SUMIF(Test!$D:$D,Rekap!D150,Test!$AK:$AK),IF($M$2="10",SUMIF(Test!$D:$D,Rekap!D150,Test!$AL:$AL),IF($M$2="11",SUMIF(Test!$D:$D,Rekap!D150,Test!$AM:$AM),IF($M$2="12",SUMIF(Test!$D:$D,Rekap!D150,Test!$AN:$AN),0))))))))))))</f>
        <v>0</v>
      </c>
    </row>
    <row r="151" spans="1:13" ht="15" customHeight="1" x14ac:dyDescent="0.25">
      <c r="A151" s="26"/>
      <c r="B151" s="27"/>
      <c r="C151" s="27"/>
      <c r="D151" s="27" t="str">
        <f t="shared" ref="D151:D156" si="3">B151&amp;C151</f>
        <v/>
      </c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" customHeight="1" x14ac:dyDescent="0.25">
      <c r="A152" s="26"/>
      <c r="B152" s="27"/>
      <c r="C152" s="27"/>
      <c r="D152" s="27" t="str">
        <f t="shared" si="3"/>
        <v/>
      </c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" customHeight="1" x14ac:dyDescent="0.25">
      <c r="A153" s="26"/>
      <c r="B153" s="27"/>
      <c r="C153" s="27"/>
      <c r="D153" s="27" t="str">
        <f t="shared" si="3"/>
        <v/>
      </c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" customHeight="1" x14ac:dyDescent="0.25">
      <c r="A154" s="26"/>
      <c r="B154" s="27"/>
      <c r="C154" s="27"/>
      <c r="D154" s="27" t="str">
        <f t="shared" si="3"/>
        <v/>
      </c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 customHeight="1" x14ac:dyDescent="0.25">
      <c r="A155" s="26"/>
      <c r="B155" s="27"/>
      <c r="C155" s="27"/>
      <c r="D155" s="27" t="str">
        <f t="shared" si="3"/>
        <v/>
      </c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 customHeight="1" x14ac:dyDescent="0.25">
      <c r="A156" s="26"/>
      <c r="B156" s="27"/>
      <c r="C156" s="27"/>
      <c r="D156" s="27" t="str">
        <f t="shared" si="3"/>
        <v/>
      </c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 customHeight="1" x14ac:dyDescent="0.25">
      <c r="A157" s="20" t="s">
        <v>14</v>
      </c>
      <c r="B157" s="21" t="s">
        <v>14</v>
      </c>
      <c r="C157" s="21" t="s">
        <v>14</v>
      </c>
      <c r="D157" s="21" t="s">
        <v>14</v>
      </c>
      <c r="E157" s="21" t="s">
        <v>14</v>
      </c>
      <c r="F157" s="21" t="s">
        <v>14</v>
      </c>
      <c r="G157" s="21" t="s">
        <v>14</v>
      </c>
      <c r="H157" s="21" t="s">
        <v>14</v>
      </c>
      <c r="I157" s="21" t="s">
        <v>14</v>
      </c>
      <c r="J157" s="21" t="s">
        <v>14</v>
      </c>
      <c r="K157" s="21" t="s">
        <v>14</v>
      </c>
      <c r="L157" s="21" t="s">
        <v>14</v>
      </c>
      <c r="M157" s="21"/>
    </row>
  </sheetData>
  <autoFilter ref="A5:D157" xr:uid="{00000000-0001-0000-0100-000000000000}"/>
  <mergeCells count="6">
    <mergeCell ref="C5:C6"/>
    <mergeCell ref="B5:B6"/>
    <mergeCell ref="A5:A6"/>
    <mergeCell ref="C3:E3"/>
    <mergeCell ref="M2:M4"/>
    <mergeCell ref="M5:M6"/>
  </mergeCells>
  <conditionalFormatting sqref="L7:M7 E7:J37 E38 L8:L37 E41:L79 E85:L148 M8:M148 E149:M156">
    <cfRule type="cellIs" dxfId="7" priority="13" operator="greaterThan">
      <formula>0</formula>
    </cfRule>
  </conditionalFormatting>
  <conditionalFormatting sqref="K7:K37">
    <cfRule type="cellIs" dxfId="6" priority="11" operator="greaterThan">
      <formula>0</formula>
    </cfRule>
  </conditionalFormatting>
  <conditionalFormatting sqref="L80:L84 E80:J84">
    <cfRule type="cellIs" dxfId="5" priority="10" operator="greaterThan">
      <formula>0</formula>
    </cfRule>
  </conditionalFormatting>
  <conditionalFormatting sqref="K80:K84">
    <cfRule type="cellIs" dxfId="4" priority="9" operator="greaterThan">
      <formula>0</formula>
    </cfRule>
  </conditionalFormatting>
  <conditionalFormatting sqref="F38:J38 L38:L40">
    <cfRule type="cellIs" dxfId="3" priority="7" operator="greaterThan">
      <formula>0</formula>
    </cfRule>
  </conditionalFormatting>
  <conditionalFormatting sqref="K38:K40">
    <cfRule type="cellIs" dxfId="2" priority="6" operator="greaterThan">
      <formula>0</formula>
    </cfRule>
  </conditionalFormatting>
  <conditionalFormatting sqref="E39:E40">
    <cfRule type="cellIs" dxfId="1" priority="5" operator="greaterThan">
      <formula>0</formula>
    </cfRule>
  </conditionalFormatting>
  <conditionalFormatting sqref="F39:J40">
    <cfRule type="cellIs" dxfId="0" priority="4" operator="greaterThan">
      <formula>0</formula>
    </cfRule>
  </conditionalFormatting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Setting!$D$2:$D$13</xm:f>
          </x14:formula1>
          <xm:sqref>C3:E3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I6" sqref="I6"/>
    </sheetView>
  </sheetViews>
  <sheetFormatPr defaultRowHeight="15" x14ac:dyDescent="0.25"/>
  <cols>
    <col min="1" max="1" width="10.85546875" customWidth="1"/>
    <col min="2" max="2" width="25" customWidth="1"/>
    <col min="4" max="4" width="10.5703125" customWidth="1"/>
    <col min="5" max="5" width="8.85546875" style="16"/>
    <col min="7" max="7" width="13.85546875" customWidth="1"/>
    <col min="9" max="9" width="35.5703125" customWidth="1"/>
  </cols>
  <sheetData>
    <row r="1" spans="1:9" x14ac:dyDescent="0.25">
      <c r="A1" s="4" t="s">
        <v>3</v>
      </c>
      <c r="B1" s="4" t="s">
        <v>4</v>
      </c>
      <c r="D1" s="4" t="s">
        <v>27</v>
      </c>
      <c r="E1" s="4" t="s">
        <v>3</v>
      </c>
      <c r="G1" s="33" t="s">
        <v>169</v>
      </c>
      <c r="H1" s="34" t="s">
        <v>144</v>
      </c>
      <c r="I1" s="34" t="s">
        <v>145</v>
      </c>
    </row>
    <row r="2" spans="1:9" x14ac:dyDescent="0.25">
      <c r="A2" s="5" t="s">
        <v>2</v>
      </c>
      <c r="B2" s="3" t="s">
        <v>5</v>
      </c>
      <c r="D2" s="3" t="s">
        <v>28</v>
      </c>
      <c r="E2" s="17" t="s">
        <v>15</v>
      </c>
      <c r="G2" s="36">
        <v>46023</v>
      </c>
      <c r="H2" s="35" t="s">
        <v>146</v>
      </c>
      <c r="I2" s="35" t="s">
        <v>147</v>
      </c>
    </row>
    <row r="3" spans="1:9" x14ac:dyDescent="0.25">
      <c r="A3" s="5" t="s">
        <v>6</v>
      </c>
      <c r="B3" s="3" t="s">
        <v>7</v>
      </c>
      <c r="D3" s="3" t="s">
        <v>29</v>
      </c>
      <c r="E3" s="17" t="s">
        <v>16</v>
      </c>
      <c r="G3" s="36">
        <v>46038</v>
      </c>
      <c r="H3" s="35" t="s">
        <v>148</v>
      </c>
      <c r="I3" s="35" t="s">
        <v>149</v>
      </c>
    </row>
    <row r="4" spans="1:9" x14ac:dyDescent="0.25">
      <c r="A4" s="5" t="s">
        <v>8</v>
      </c>
      <c r="B4" s="3" t="s">
        <v>9</v>
      </c>
      <c r="D4" s="3" t="s">
        <v>30</v>
      </c>
      <c r="E4" s="17" t="s">
        <v>17</v>
      </c>
      <c r="G4" s="36">
        <v>46070</v>
      </c>
      <c r="H4" s="35" t="s">
        <v>150</v>
      </c>
      <c r="I4" s="35" t="s">
        <v>151</v>
      </c>
    </row>
    <row r="5" spans="1:9" x14ac:dyDescent="0.25">
      <c r="A5" s="5" t="s">
        <v>10</v>
      </c>
      <c r="B5" s="3" t="s">
        <v>11</v>
      </c>
      <c r="D5" s="3" t="s">
        <v>31</v>
      </c>
      <c r="E5" s="17" t="s">
        <v>18</v>
      </c>
      <c r="G5" s="36">
        <v>46100</v>
      </c>
      <c r="H5" s="35" t="s">
        <v>146</v>
      </c>
      <c r="I5" s="35" t="s">
        <v>152</v>
      </c>
    </row>
    <row r="6" spans="1:9" x14ac:dyDescent="0.25">
      <c r="A6" s="5" t="s">
        <v>142</v>
      </c>
      <c r="B6" s="3" t="s">
        <v>143</v>
      </c>
      <c r="D6" s="3" t="s">
        <v>32</v>
      </c>
      <c r="E6" s="17" t="s">
        <v>19</v>
      </c>
      <c r="G6" s="36">
        <v>46102</v>
      </c>
      <c r="H6" s="35" t="s">
        <v>153</v>
      </c>
      <c r="I6" s="35" t="s">
        <v>154</v>
      </c>
    </row>
    <row r="7" spans="1:9" x14ac:dyDescent="0.25">
      <c r="A7" s="5" t="s">
        <v>173</v>
      </c>
      <c r="B7" s="3" t="s">
        <v>174</v>
      </c>
      <c r="D7" s="3" t="s">
        <v>33</v>
      </c>
      <c r="E7" s="17" t="s">
        <v>20</v>
      </c>
      <c r="G7" s="36">
        <v>46103</v>
      </c>
      <c r="H7" s="35" t="s">
        <v>155</v>
      </c>
      <c r="I7" s="35" t="s">
        <v>154</v>
      </c>
    </row>
    <row r="8" spans="1:9" x14ac:dyDescent="0.25">
      <c r="A8" s="5"/>
      <c r="B8" s="3"/>
      <c r="D8" s="3" t="s">
        <v>34</v>
      </c>
      <c r="E8" s="17" t="s">
        <v>21</v>
      </c>
      <c r="G8" s="36">
        <v>46115</v>
      </c>
      <c r="H8" s="35" t="s">
        <v>148</v>
      </c>
      <c r="I8" s="35" t="s">
        <v>156</v>
      </c>
    </row>
    <row r="9" spans="1:9" x14ac:dyDescent="0.25">
      <c r="A9" s="5"/>
      <c r="B9" s="3"/>
      <c r="D9" s="3" t="s">
        <v>35</v>
      </c>
      <c r="E9" s="17" t="s">
        <v>22</v>
      </c>
      <c r="G9" s="36">
        <v>46117</v>
      </c>
      <c r="H9" s="35" t="s">
        <v>155</v>
      </c>
      <c r="I9" s="35" t="s">
        <v>157</v>
      </c>
    </row>
    <row r="10" spans="1:9" x14ac:dyDescent="0.25">
      <c r="D10" s="3" t="s">
        <v>36</v>
      </c>
      <c r="E10" s="17" t="s">
        <v>23</v>
      </c>
      <c r="G10" s="36">
        <v>46143</v>
      </c>
      <c r="H10" s="35" t="s">
        <v>148</v>
      </c>
      <c r="I10" s="35" t="s">
        <v>158</v>
      </c>
    </row>
    <row r="11" spans="1:9" x14ac:dyDescent="0.25">
      <c r="D11" s="3" t="s">
        <v>37</v>
      </c>
      <c r="E11" s="17" t="s">
        <v>24</v>
      </c>
      <c r="G11" s="36">
        <v>46156</v>
      </c>
      <c r="H11" s="35" t="s">
        <v>146</v>
      </c>
      <c r="I11" s="35" t="s">
        <v>159</v>
      </c>
    </row>
    <row r="12" spans="1:9" x14ac:dyDescent="0.25">
      <c r="D12" s="3" t="s">
        <v>38</v>
      </c>
      <c r="E12" s="17" t="s">
        <v>25</v>
      </c>
      <c r="G12" s="36">
        <v>46169</v>
      </c>
      <c r="H12" s="35" t="s">
        <v>160</v>
      </c>
      <c r="I12" s="35" t="s">
        <v>161</v>
      </c>
    </row>
    <row r="13" spans="1:9" x14ac:dyDescent="0.25">
      <c r="D13" s="3" t="s">
        <v>39</v>
      </c>
      <c r="E13" s="17" t="s">
        <v>26</v>
      </c>
      <c r="G13" s="36">
        <v>46173</v>
      </c>
      <c r="H13" s="35" t="s">
        <v>155</v>
      </c>
      <c r="I13" s="35" t="s">
        <v>162</v>
      </c>
    </row>
    <row r="14" spans="1:9" x14ac:dyDescent="0.25">
      <c r="E14" s="18"/>
      <c r="G14" s="36">
        <v>46174</v>
      </c>
      <c r="H14" s="35" t="s">
        <v>163</v>
      </c>
      <c r="I14" s="35" t="s">
        <v>164</v>
      </c>
    </row>
    <row r="15" spans="1:9" x14ac:dyDescent="0.25">
      <c r="G15" s="36">
        <v>46189</v>
      </c>
      <c r="H15" s="35" t="s">
        <v>150</v>
      </c>
      <c r="I15" s="35" t="s">
        <v>165</v>
      </c>
    </row>
    <row r="16" spans="1:9" x14ac:dyDescent="0.25">
      <c r="G16" s="36">
        <v>46251</v>
      </c>
      <c r="H16" s="35" t="s">
        <v>163</v>
      </c>
      <c r="I16" s="35" t="s">
        <v>166</v>
      </c>
    </row>
    <row r="17" spans="7:9" x14ac:dyDescent="0.25">
      <c r="G17" s="36">
        <v>46259</v>
      </c>
      <c r="H17" s="35" t="s">
        <v>150</v>
      </c>
      <c r="I17" s="35" t="s">
        <v>167</v>
      </c>
    </row>
    <row r="18" spans="7:9" x14ac:dyDescent="0.25">
      <c r="G18" s="36">
        <v>46381</v>
      </c>
      <c r="H18" s="35" t="s">
        <v>148</v>
      </c>
      <c r="I18" s="35" t="s">
        <v>168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65"/>
  <sheetViews>
    <sheetView topLeftCell="A139" workbookViewId="0">
      <selection activeCell="AN151" sqref="AN151"/>
    </sheetView>
  </sheetViews>
  <sheetFormatPr defaultRowHeight="15" x14ac:dyDescent="0.25"/>
  <cols>
    <col min="2" max="2" width="19.7109375" customWidth="1"/>
    <col min="3" max="4" width="27.85546875" customWidth="1"/>
  </cols>
  <sheetData>
    <row r="1" spans="1:40" ht="15.75" x14ac:dyDescent="0.25">
      <c r="A1" s="32" t="s">
        <v>41</v>
      </c>
      <c r="B1" s="32"/>
      <c r="C1" s="32"/>
      <c r="D1" s="32"/>
    </row>
    <row r="5" spans="1:40" x14ac:dyDescent="0.25">
      <c r="A5" s="57" t="s">
        <v>40</v>
      </c>
      <c r="B5" s="57" t="s">
        <v>12</v>
      </c>
      <c r="C5" s="57" t="s">
        <v>1</v>
      </c>
      <c r="D5" s="45"/>
      <c r="E5" s="41" t="s">
        <v>175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 t="s">
        <v>176</v>
      </c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1" t="s">
        <v>172</v>
      </c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spans="1:40" x14ac:dyDescent="0.25">
      <c r="A6" s="58"/>
      <c r="B6" s="58"/>
      <c r="C6" s="58"/>
      <c r="D6" s="44"/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 t="s">
        <v>22</v>
      </c>
      <c r="M6" s="17" t="s">
        <v>23</v>
      </c>
      <c r="N6" s="17" t="s">
        <v>24</v>
      </c>
      <c r="O6" s="17" t="s">
        <v>25</v>
      </c>
      <c r="P6" s="17" t="s">
        <v>26</v>
      </c>
      <c r="Q6" s="17" t="s">
        <v>15</v>
      </c>
      <c r="R6" s="17" t="s">
        <v>16</v>
      </c>
      <c r="S6" s="17" t="s">
        <v>17</v>
      </c>
      <c r="T6" s="17" t="s">
        <v>18</v>
      </c>
      <c r="U6" s="17" t="s">
        <v>19</v>
      </c>
      <c r="V6" s="17" t="s">
        <v>20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15</v>
      </c>
      <c r="AD6" s="17" t="s">
        <v>16</v>
      </c>
      <c r="AE6" s="17" t="s">
        <v>17</v>
      </c>
      <c r="AF6" s="17" t="s">
        <v>18</v>
      </c>
      <c r="AG6" s="17" t="s">
        <v>19</v>
      </c>
      <c r="AH6" s="17" t="s">
        <v>20</v>
      </c>
      <c r="AI6" s="17" t="s">
        <v>21</v>
      </c>
      <c r="AJ6" s="17" t="s">
        <v>22</v>
      </c>
      <c r="AK6" s="17" t="s">
        <v>23</v>
      </c>
      <c r="AL6" s="17" t="s">
        <v>24</v>
      </c>
      <c r="AM6" s="17" t="s">
        <v>25</v>
      </c>
      <c r="AN6" s="17" t="s">
        <v>26</v>
      </c>
    </row>
    <row r="7" spans="1:40" x14ac:dyDescent="0.25">
      <c r="A7" s="26">
        <v>1</v>
      </c>
      <c r="B7" s="27" t="str">
        <f>Absensi!B5</f>
        <v>Gudang A</v>
      </c>
      <c r="C7" s="27" t="str">
        <f>Rekap!C7</f>
        <v>Suci Rahmawati</v>
      </c>
      <c r="D7" s="46" t="str">
        <f>B7&amp;C7</f>
        <v>Gudang ASuci Rahmawati</v>
      </c>
      <c r="E7">
        <f>COUNTIFS(Absensi!$D5:$ND5,"C",Absensi!$D$2:$ND$2,E$6)</f>
        <v>1</v>
      </c>
      <c r="F7">
        <f>COUNTIFS(Absensi!$D5:$ND5,"C",Absensi!$D$2:$ND$2,F$6)</f>
        <v>1</v>
      </c>
      <c r="G7">
        <f>COUNTIFS(Absensi!$D5:$ND5,"C",Absensi!$D$2:$ND$2,G$6)</f>
        <v>3</v>
      </c>
      <c r="H7">
        <f>COUNTIFS(Absensi!$D5:$ND5,"C",Absensi!$D$2:$ND$2,H$6)</f>
        <v>0</v>
      </c>
      <c r="I7">
        <f>COUNTIFS(Absensi!$D5:$ND5,"C",Absensi!$D$2:$ND$2,I$6)</f>
        <v>0</v>
      </c>
      <c r="J7">
        <f>COUNTIFS(Absensi!$D5:$ND5,"C",Absensi!$D$2:$ND$2,J$6)</f>
        <v>1</v>
      </c>
      <c r="K7">
        <f>COUNTIFS(Absensi!$D5:$ND5,"C",Absensi!$D$2:$ND$2,K$6)</f>
        <v>1</v>
      </c>
      <c r="L7">
        <f>COUNTIFS(Absensi!$D5:$ND5,"C",Absensi!$D$2:$ND$2,L$6)</f>
        <v>1</v>
      </c>
      <c r="M7">
        <f>COUNTIFS(Absensi!$D5:$ND5,"C",Absensi!$D$2:$ND$2,M$6)</f>
        <v>1</v>
      </c>
      <c r="N7">
        <f>COUNTIFS(Absensi!$D5:$ND5,"C",Absensi!$D$2:$ND$2,N$6)</f>
        <v>0</v>
      </c>
      <c r="O7">
        <f>COUNTIFS(Absensi!$D5:$ND5,"C",Absensi!$D$2:$ND$2,O$6)</f>
        <v>0</v>
      </c>
      <c r="P7">
        <f>COUNTIFS(Absensi!$D5:$ND5,"C",Absensi!$D$2:$ND$2,P$6)</f>
        <v>0</v>
      </c>
      <c r="Q7">
        <f>COUNTIFS(Absensi!$D5:$ND5,"CS",Absensi!$D$2:$ND$2,Q$6)</f>
        <v>0</v>
      </c>
      <c r="R7">
        <f>COUNTIFS(Absensi!$D5:$ND5,"CS",Absensi!$D$2:$ND$2,R$6)</f>
        <v>0</v>
      </c>
      <c r="S7">
        <f>COUNTIFS(Absensi!$D5:$ND5,"CS",Absensi!$D$2:$ND$2,S$6)</f>
        <v>1</v>
      </c>
      <c r="T7">
        <f>COUNTIFS(Absensi!$D5:$ND5,"CS",Absensi!$D$2:$ND$2,T$6)</f>
        <v>0</v>
      </c>
      <c r="U7">
        <f>COUNTIFS(Absensi!$D5:$ND5,"CS",Absensi!$D$2:$ND$2,U$6)</f>
        <v>0</v>
      </c>
      <c r="V7">
        <f>COUNTIFS(Absensi!$D5:$ND5,"CS",Absensi!$D$2:$ND$2,V$6)</f>
        <v>0</v>
      </c>
      <c r="W7">
        <f>COUNTIFS(Absensi!$D5:$ND5,"CS",Absensi!$D$2:$ND$2,W$6)</f>
        <v>0</v>
      </c>
      <c r="X7">
        <f>COUNTIFS(Absensi!$D5:$ND5,"CS",Absensi!$D$2:$ND$2,X$6)</f>
        <v>0</v>
      </c>
      <c r="Y7">
        <f>COUNTIFS(Absensi!$D5:$ND5,"CS",Absensi!$D$2:$ND$2,Y$6)</f>
        <v>0</v>
      </c>
      <c r="Z7">
        <f>COUNTIFS(Absensi!$D5:$ND5,"CS",Absensi!$D$2:$ND$2,Z$6)</f>
        <v>0</v>
      </c>
      <c r="AA7">
        <f>COUNTIFS(Absensi!$D5:$ND5,"CS",Absensi!$D$2:$ND$2,AA$6)</f>
        <v>0</v>
      </c>
      <c r="AB7">
        <f>COUNTIFS(Absensi!$D5:$ND5,"CS",Absensi!$D$2:$ND$2,AB$6)</f>
        <v>0</v>
      </c>
      <c r="AC7">
        <f>12-E7-Q7*0.5</f>
        <v>11</v>
      </c>
      <c r="AD7">
        <f>AC7-F7-R7*0.5</f>
        <v>10</v>
      </c>
      <c r="AE7">
        <f t="shared" ref="AE7:AN7" si="0">AD7-G7-S7*0.5</f>
        <v>6.5</v>
      </c>
      <c r="AF7">
        <f t="shared" si="0"/>
        <v>6.5</v>
      </c>
      <c r="AG7">
        <f t="shared" si="0"/>
        <v>6.5</v>
      </c>
      <c r="AH7">
        <f t="shared" si="0"/>
        <v>5.5</v>
      </c>
      <c r="AI7">
        <f t="shared" si="0"/>
        <v>4.5</v>
      </c>
      <c r="AJ7">
        <f t="shared" si="0"/>
        <v>3.5</v>
      </c>
      <c r="AK7">
        <f t="shared" si="0"/>
        <v>2.5</v>
      </c>
      <c r="AL7">
        <f t="shared" si="0"/>
        <v>2.5</v>
      </c>
      <c r="AM7">
        <f t="shared" si="0"/>
        <v>2.5</v>
      </c>
      <c r="AN7">
        <f t="shared" si="0"/>
        <v>2.5</v>
      </c>
    </row>
    <row r="8" spans="1:40" x14ac:dyDescent="0.25">
      <c r="A8" s="26">
        <v>2</v>
      </c>
      <c r="B8" s="27" t="str">
        <f>Absensi!B6</f>
        <v>Gudang A</v>
      </c>
      <c r="C8" s="27" t="str">
        <f>Rekap!C8</f>
        <v>Nur Octaviani</v>
      </c>
      <c r="D8" s="46" t="str">
        <f t="shared" ref="D8:D72" si="1">B8&amp;C8</f>
        <v>Gudang ANur Octaviani</v>
      </c>
      <c r="E8">
        <f>COUNTIFS(Absensi!$D6:$ND6,"C",Absensi!$D$2:$ND$2,E$6)</f>
        <v>0</v>
      </c>
      <c r="F8">
        <f>COUNTIFS(Absensi!$D6:$ND6,"C",Absensi!$D$2:$ND$2,F$6)</f>
        <v>0</v>
      </c>
      <c r="G8">
        <f>COUNTIFS(Absensi!$D6:$ND6,"C",Absensi!$D$2:$ND$2,G$6)</f>
        <v>2</v>
      </c>
      <c r="H8">
        <f>COUNTIFS(Absensi!$D6:$ND6,"C",Absensi!$D$2:$ND$2,H$6)</f>
        <v>0</v>
      </c>
      <c r="I8">
        <f>COUNTIFS(Absensi!$D6:$ND6,"C",Absensi!$D$2:$ND$2,I$6)</f>
        <v>0</v>
      </c>
      <c r="J8">
        <f>COUNTIFS(Absensi!$D6:$ND6,"C",Absensi!$D$2:$ND$2,J$6)</f>
        <v>0</v>
      </c>
      <c r="K8">
        <f>COUNTIFS(Absensi!$D6:$ND6,"C",Absensi!$D$2:$ND$2,K$6)</f>
        <v>2</v>
      </c>
      <c r="L8">
        <f>COUNTIFS(Absensi!$D6:$ND6,"C",Absensi!$D$2:$ND$2,L$6)</f>
        <v>0</v>
      </c>
      <c r="M8">
        <f>COUNTIFS(Absensi!$D6:$ND6,"C",Absensi!$D$2:$ND$2,M$6)</f>
        <v>0</v>
      </c>
      <c r="N8">
        <f>COUNTIFS(Absensi!$D6:$ND6,"C",Absensi!$D$2:$ND$2,N$6)</f>
        <v>0</v>
      </c>
      <c r="O8">
        <f>COUNTIFS(Absensi!$D6:$ND6,"C",Absensi!$D$2:$ND$2,O$6)</f>
        <v>0</v>
      </c>
      <c r="P8">
        <f>COUNTIFS(Absensi!$D6:$ND6,"C",Absensi!$D$2:$ND$2,P$6)</f>
        <v>0</v>
      </c>
      <c r="Q8">
        <f>COUNTIFS(Absensi!$D6:$ND6,"CS",Absensi!$D$2:$ND$2,Q$6)</f>
        <v>0</v>
      </c>
      <c r="R8">
        <f>COUNTIFS(Absensi!$D6:$ND6,"CS",Absensi!$D$2:$ND$2,R$6)</f>
        <v>0</v>
      </c>
      <c r="S8">
        <f>COUNTIFS(Absensi!$D6:$ND6,"CS",Absensi!$D$2:$ND$2,S$6)</f>
        <v>1</v>
      </c>
      <c r="T8">
        <f>COUNTIFS(Absensi!$D6:$ND6,"CS",Absensi!$D$2:$ND$2,T$6)</f>
        <v>0</v>
      </c>
      <c r="U8">
        <f>COUNTIFS(Absensi!$D6:$ND6,"CS",Absensi!$D$2:$ND$2,U$6)</f>
        <v>0</v>
      </c>
      <c r="V8">
        <f>COUNTIFS(Absensi!$D6:$ND6,"CS",Absensi!$D$2:$ND$2,V$6)</f>
        <v>0</v>
      </c>
      <c r="W8">
        <f>COUNTIFS(Absensi!$D6:$ND6,"CS",Absensi!$D$2:$ND$2,W$6)</f>
        <v>1</v>
      </c>
      <c r="X8">
        <f>COUNTIFS(Absensi!$D6:$ND6,"CS",Absensi!$D$2:$ND$2,X$6)</f>
        <v>0</v>
      </c>
      <c r="Y8">
        <f>COUNTIFS(Absensi!$D6:$ND6,"CS",Absensi!$D$2:$ND$2,Y$6)</f>
        <v>1</v>
      </c>
      <c r="Z8">
        <f>COUNTIFS(Absensi!$D6:$ND6,"CS",Absensi!$D$2:$ND$2,Z$6)</f>
        <v>0</v>
      </c>
      <c r="AA8">
        <f>COUNTIFS(Absensi!$D6:$ND6,"CS",Absensi!$D$2:$ND$2,AA$6)</f>
        <v>0</v>
      </c>
      <c r="AB8">
        <f>COUNTIFS(Absensi!$D6:$ND6,"CS",Absensi!$D$2:$ND$2,AB$6)</f>
        <v>0</v>
      </c>
      <c r="AC8">
        <f t="shared" ref="AC8:AC71" si="2">12-E8-Q8*0.5</f>
        <v>12</v>
      </c>
      <c r="AD8">
        <f t="shared" ref="AD8:AD71" si="3">AC8-F8-R8*0.5</f>
        <v>12</v>
      </c>
      <c r="AE8">
        <f t="shared" ref="AE8:AE71" si="4">AD8-G8-S8*0.5</f>
        <v>9.5</v>
      </c>
      <c r="AF8">
        <f t="shared" ref="AF8:AF71" si="5">AE8-H8-T8*0.5</f>
        <v>9.5</v>
      </c>
      <c r="AG8">
        <f t="shared" ref="AG8:AG71" si="6">AF8-I8-U8*0.5</f>
        <v>9.5</v>
      </c>
      <c r="AH8">
        <f t="shared" ref="AH8:AH71" si="7">AG8-J8-V8*0.5</f>
        <v>9.5</v>
      </c>
      <c r="AI8">
        <f t="shared" ref="AI8:AI71" si="8">AH8-K8-W8*0.5</f>
        <v>7</v>
      </c>
      <c r="AJ8">
        <f t="shared" ref="AJ8:AJ71" si="9">AI8-L8-X8*0.5</f>
        <v>7</v>
      </c>
      <c r="AK8">
        <f t="shared" ref="AK8:AK71" si="10">AJ8-M8-Y8*0.5</f>
        <v>6.5</v>
      </c>
      <c r="AL8">
        <f t="shared" ref="AL8:AL71" si="11">AK8-N8-Z8*0.5</f>
        <v>6.5</v>
      </c>
      <c r="AM8">
        <f t="shared" ref="AM8:AM71" si="12">AL8-O8-AA8*0.5</f>
        <v>6.5</v>
      </c>
      <c r="AN8">
        <f t="shared" ref="AN8:AN71" si="13">AM8-P8-AB8*0.5</f>
        <v>6.5</v>
      </c>
    </row>
    <row r="9" spans="1:40" x14ac:dyDescent="0.25">
      <c r="A9" s="26">
        <v>3</v>
      </c>
      <c r="B9" s="27" t="str">
        <f>Absensi!B7</f>
        <v>Gudang A</v>
      </c>
      <c r="C9" s="27" t="str">
        <f>Rekap!C9</f>
        <v>M. Farhan</v>
      </c>
      <c r="D9" s="46" t="str">
        <f t="shared" si="1"/>
        <v>Gudang AM. Farhan</v>
      </c>
      <c r="E9">
        <f>COUNTIFS(Absensi!$D7:$ND7,"C",Absensi!$D$2:$ND$2,E$6)</f>
        <v>1</v>
      </c>
      <c r="F9">
        <f>COUNTIFS(Absensi!$D7:$ND7,"C",Absensi!$D$2:$ND$2,F$6)</f>
        <v>0</v>
      </c>
      <c r="G9">
        <f>COUNTIFS(Absensi!$D7:$ND7,"C",Absensi!$D$2:$ND$2,G$6)</f>
        <v>3</v>
      </c>
      <c r="H9">
        <f>COUNTIFS(Absensi!$D7:$ND7,"C",Absensi!$D$2:$ND$2,H$6)</f>
        <v>0</v>
      </c>
      <c r="I9">
        <f>COUNTIFS(Absensi!$D7:$ND7,"C",Absensi!$D$2:$ND$2,I$6)</f>
        <v>0</v>
      </c>
      <c r="J9">
        <f>COUNTIFS(Absensi!$D7:$ND7,"C",Absensi!$D$2:$ND$2,J$6)</f>
        <v>1</v>
      </c>
      <c r="K9">
        <f>COUNTIFS(Absensi!$D7:$ND7,"C",Absensi!$D$2:$ND$2,K$6)</f>
        <v>0</v>
      </c>
      <c r="L9">
        <f>COUNTIFS(Absensi!$D7:$ND7,"C",Absensi!$D$2:$ND$2,L$6)</f>
        <v>3</v>
      </c>
      <c r="M9">
        <f>COUNTIFS(Absensi!$D7:$ND7,"C",Absensi!$D$2:$ND$2,M$6)</f>
        <v>0</v>
      </c>
      <c r="N9">
        <f>COUNTIFS(Absensi!$D7:$ND7,"C",Absensi!$D$2:$ND$2,N$6)</f>
        <v>0</v>
      </c>
      <c r="O9">
        <f>COUNTIFS(Absensi!$D7:$ND7,"C",Absensi!$D$2:$ND$2,O$6)</f>
        <v>0</v>
      </c>
      <c r="P9">
        <f>COUNTIFS(Absensi!$D7:$ND7,"C",Absensi!$D$2:$ND$2,P$6)</f>
        <v>0</v>
      </c>
      <c r="Q9">
        <f>COUNTIFS(Absensi!$D7:$ND7,"CS",Absensi!$D$2:$ND$2,Q$6)</f>
        <v>0</v>
      </c>
      <c r="R9">
        <f>COUNTIFS(Absensi!$D7:$ND7,"CS",Absensi!$D$2:$ND$2,R$6)</f>
        <v>0</v>
      </c>
      <c r="S9">
        <f>COUNTIFS(Absensi!$D7:$ND7,"CS",Absensi!$D$2:$ND$2,S$6)</f>
        <v>0</v>
      </c>
      <c r="T9">
        <f>COUNTIFS(Absensi!$D7:$ND7,"CS",Absensi!$D$2:$ND$2,T$6)</f>
        <v>0</v>
      </c>
      <c r="U9">
        <f>COUNTIFS(Absensi!$D7:$ND7,"CS",Absensi!$D$2:$ND$2,U$6)</f>
        <v>0</v>
      </c>
      <c r="V9">
        <f>COUNTIFS(Absensi!$D7:$ND7,"CS",Absensi!$D$2:$ND$2,V$6)</f>
        <v>0</v>
      </c>
      <c r="W9">
        <f>COUNTIFS(Absensi!$D7:$ND7,"CS",Absensi!$D$2:$ND$2,W$6)</f>
        <v>0</v>
      </c>
      <c r="X9">
        <f>COUNTIFS(Absensi!$D7:$ND7,"CS",Absensi!$D$2:$ND$2,X$6)</f>
        <v>0</v>
      </c>
      <c r="Y9">
        <f>COUNTIFS(Absensi!$D7:$ND7,"CS",Absensi!$D$2:$ND$2,Y$6)</f>
        <v>0</v>
      </c>
      <c r="Z9">
        <f>COUNTIFS(Absensi!$D7:$ND7,"CS",Absensi!$D$2:$ND$2,Z$6)</f>
        <v>0</v>
      </c>
      <c r="AA9">
        <f>COUNTIFS(Absensi!$D7:$ND7,"CS",Absensi!$D$2:$ND$2,AA$6)</f>
        <v>0</v>
      </c>
      <c r="AB9">
        <f>COUNTIFS(Absensi!$D7:$ND7,"CS",Absensi!$D$2:$ND$2,AB$6)</f>
        <v>0</v>
      </c>
      <c r="AC9">
        <f t="shared" si="2"/>
        <v>11</v>
      </c>
      <c r="AD9">
        <f t="shared" si="3"/>
        <v>11</v>
      </c>
      <c r="AE9">
        <f t="shared" si="4"/>
        <v>8</v>
      </c>
      <c r="AF9">
        <f t="shared" si="5"/>
        <v>8</v>
      </c>
      <c r="AG9">
        <f t="shared" si="6"/>
        <v>8</v>
      </c>
      <c r="AH9">
        <f t="shared" si="7"/>
        <v>7</v>
      </c>
      <c r="AI9">
        <f t="shared" si="8"/>
        <v>7</v>
      </c>
      <c r="AJ9">
        <f t="shared" si="9"/>
        <v>4</v>
      </c>
      <c r="AK9">
        <f t="shared" si="10"/>
        <v>4</v>
      </c>
      <c r="AL9">
        <f t="shared" si="11"/>
        <v>4</v>
      </c>
      <c r="AM9">
        <f t="shared" si="12"/>
        <v>4</v>
      </c>
      <c r="AN9">
        <f t="shared" si="13"/>
        <v>4</v>
      </c>
    </row>
    <row r="10" spans="1:40" x14ac:dyDescent="0.25">
      <c r="A10" s="26">
        <v>4</v>
      </c>
      <c r="B10" s="27" t="str">
        <f>Absensi!B8</f>
        <v>Gudang A</v>
      </c>
      <c r="C10" s="27" t="str">
        <f>Rekap!C10</f>
        <v>Nadia</v>
      </c>
      <c r="D10" s="46" t="str">
        <f t="shared" si="1"/>
        <v>Gudang ANadia</v>
      </c>
      <c r="E10">
        <f>COUNTIFS(Absensi!$D8:$ND8,"C",Absensi!$D$2:$ND$2,E$6)</f>
        <v>0</v>
      </c>
      <c r="F10">
        <f>COUNTIFS(Absensi!$D8:$ND8,"C",Absensi!$D$2:$ND$2,F$6)</f>
        <v>1</v>
      </c>
      <c r="G10">
        <f>COUNTIFS(Absensi!$D8:$ND8,"C",Absensi!$D$2:$ND$2,G$6)</f>
        <v>5</v>
      </c>
      <c r="H10">
        <f>COUNTIFS(Absensi!$D8:$ND8,"C",Absensi!$D$2:$ND$2,H$6)</f>
        <v>0</v>
      </c>
      <c r="I10">
        <f>COUNTIFS(Absensi!$D8:$ND8,"C",Absensi!$D$2:$ND$2,I$6)</f>
        <v>1</v>
      </c>
      <c r="J10">
        <f>COUNTIFS(Absensi!$D8:$ND8,"C",Absensi!$D$2:$ND$2,J$6)</f>
        <v>0</v>
      </c>
      <c r="K10">
        <f>COUNTIFS(Absensi!$D8:$ND8,"C",Absensi!$D$2:$ND$2,K$6)</f>
        <v>1</v>
      </c>
      <c r="L10">
        <f>COUNTIFS(Absensi!$D8:$ND8,"C",Absensi!$D$2:$ND$2,L$6)</f>
        <v>2</v>
      </c>
      <c r="M10">
        <f>COUNTIFS(Absensi!$D8:$ND8,"C",Absensi!$D$2:$ND$2,M$6)</f>
        <v>0</v>
      </c>
      <c r="N10">
        <f>COUNTIFS(Absensi!$D8:$ND8,"C",Absensi!$D$2:$ND$2,N$6)</f>
        <v>0</v>
      </c>
      <c r="O10">
        <f>COUNTIFS(Absensi!$D8:$ND8,"C",Absensi!$D$2:$ND$2,O$6)</f>
        <v>0</v>
      </c>
      <c r="P10">
        <f>COUNTIFS(Absensi!$D8:$ND8,"C",Absensi!$D$2:$ND$2,P$6)</f>
        <v>0</v>
      </c>
      <c r="Q10">
        <f>COUNTIFS(Absensi!$D8:$ND8,"CS",Absensi!$D$2:$ND$2,Q$6)</f>
        <v>0</v>
      </c>
      <c r="R10">
        <f>COUNTIFS(Absensi!$D8:$ND8,"CS",Absensi!$D$2:$ND$2,R$6)</f>
        <v>0</v>
      </c>
      <c r="S10">
        <f>COUNTIFS(Absensi!$D8:$ND8,"CS",Absensi!$D$2:$ND$2,S$6)</f>
        <v>1</v>
      </c>
      <c r="T10">
        <f>COUNTIFS(Absensi!$D8:$ND8,"CS",Absensi!$D$2:$ND$2,T$6)</f>
        <v>0</v>
      </c>
      <c r="U10">
        <f>COUNTIFS(Absensi!$D8:$ND8,"CS",Absensi!$D$2:$ND$2,U$6)</f>
        <v>0</v>
      </c>
      <c r="V10">
        <f>COUNTIFS(Absensi!$D8:$ND8,"CS",Absensi!$D$2:$ND$2,V$6)</f>
        <v>0</v>
      </c>
      <c r="W10">
        <f>COUNTIFS(Absensi!$D8:$ND8,"CS",Absensi!$D$2:$ND$2,W$6)</f>
        <v>0</v>
      </c>
      <c r="X10">
        <f>COUNTIFS(Absensi!$D8:$ND8,"CS",Absensi!$D$2:$ND$2,X$6)</f>
        <v>0</v>
      </c>
      <c r="Y10">
        <f>COUNTIFS(Absensi!$D8:$ND8,"CS",Absensi!$D$2:$ND$2,Y$6)</f>
        <v>0</v>
      </c>
      <c r="Z10">
        <f>COUNTIFS(Absensi!$D8:$ND8,"CS",Absensi!$D$2:$ND$2,Z$6)</f>
        <v>0</v>
      </c>
      <c r="AA10">
        <f>COUNTIFS(Absensi!$D8:$ND8,"CS",Absensi!$D$2:$ND$2,AA$6)</f>
        <v>0</v>
      </c>
      <c r="AB10">
        <f>COUNTIFS(Absensi!$D8:$ND8,"CS",Absensi!$D$2:$ND$2,AB$6)</f>
        <v>0</v>
      </c>
      <c r="AC10">
        <f t="shared" si="2"/>
        <v>12</v>
      </c>
      <c r="AD10">
        <f t="shared" si="3"/>
        <v>11</v>
      </c>
      <c r="AE10">
        <f t="shared" si="4"/>
        <v>5.5</v>
      </c>
      <c r="AF10">
        <f t="shared" si="5"/>
        <v>5.5</v>
      </c>
      <c r="AG10">
        <f t="shared" si="6"/>
        <v>4.5</v>
      </c>
      <c r="AH10">
        <f t="shared" si="7"/>
        <v>4.5</v>
      </c>
      <c r="AI10">
        <f t="shared" si="8"/>
        <v>3.5</v>
      </c>
      <c r="AJ10">
        <f t="shared" si="9"/>
        <v>1.5</v>
      </c>
      <c r="AK10">
        <f t="shared" si="10"/>
        <v>1.5</v>
      </c>
      <c r="AL10">
        <f t="shared" si="11"/>
        <v>1.5</v>
      </c>
      <c r="AM10">
        <f t="shared" si="12"/>
        <v>1.5</v>
      </c>
      <c r="AN10">
        <f t="shared" si="13"/>
        <v>1.5</v>
      </c>
    </row>
    <row r="11" spans="1:40" x14ac:dyDescent="0.25">
      <c r="A11" s="26">
        <v>5</v>
      </c>
      <c r="B11" s="27" t="str">
        <f>Absensi!B9</f>
        <v>Gudang A</v>
      </c>
      <c r="C11" s="27" t="str">
        <f>Rekap!C11</f>
        <v>Aan Turipno</v>
      </c>
      <c r="D11" s="46" t="str">
        <f t="shared" si="1"/>
        <v>Gudang AAan Turipno</v>
      </c>
      <c r="E11">
        <f>COUNTIFS(Absensi!$D9:$ND9,"C",Absensi!$D$2:$ND$2,E$6)</f>
        <v>0</v>
      </c>
      <c r="F11">
        <f>COUNTIFS(Absensi!$D9:$ND9,"C",Absensi!$D$2:$ND$2,F$6)</f>
        <v>0</v>
      </c>
      <c r="G11">
        <f>COUNTIFS(Absensi!$D9:$ND9,"C",Absensi!$D$2:$ND$2,G$6)</f>
        <v>3</v>
      </c>
      <c r="H11">
        <f>COUNTIFS(Absensi!$D9:$ND9,"C",Absensi!$D$2:$ND$2,H$6)</f>
        <v>0</v>
      </c>
      <c r="I11">
        <f>COUNTIFS(Absensi!$D9:$ND9,"C",Absensi!$D$2:$ND$2,I$6)</f>
        <v>0</v>
      </c>
      <c r="J11">
        <f>COUNTIFS(Absensi!$D9:$ND9,"C",Absensi!$D$2:$ND$2,J$6)</f>
        <v>2</v>
      </c>
      <c r="K11">
        <f>COUNTIFS(Absensi!$D9:$ND9,"C",Absensi!$D$2:$ND$2,K$6)</f>
        <v>0</v>
      </c>
      <c r="L11">
        <f>COUNTIFS(Absensi!$D9:$ND9,"C",Absensi!$D$2:$ND$2,L$6)</f>
        <v>0</v>
      </c>
      <c r="M11">
        <f>COUNTIFS(Absensi!$D9:$ND9,"C",Absensi!$D$2:$ND$2,M$6)</f>
        <v>3</v>
      </c>
      <c r="N11">
        <f>COUNTIFS(Absensi!$D9:$ND9,"C",Absensi!$D$2:$ND$2,N$6)</f>
        <v>0</v>
      </c>
      <c r="O11">
        <f>COUNTIFS(Absensi!$D9:$ND9,"C",Absensi!$D$2:$ND$2,O$6)</f>
        <v>0</v>
      </c>
      <c r="P11">
        <f>COUNTIFS(Absensi!$D9:$ND9,"C",Absensi!$D$2:$ND$2,P$6)</f>
        <v>0</v>
      </c>
      <c r="Q11">
        <f>COUNTIFS(Absensi!$D9:$ND9,"CS",Absensi!$D$2:$ND$2,Q$6)</f>
        <v>1</v>
      </c>
      <c r="R11">
        <f>COUNTIFS(Absensi!$D9:$ND9,"CS",Absensi!$D$2:$ND$2,R$6)</f>
        <v>0</v>
      </c>
      <c r="S11">
        <f>COUNTIFS(Absensi!$D9:$ND9,"CS",Absensi!$D$2:$ND$2,S$6)</f>
        <v>0</v>
      </c>
      <c r="T11">
        <f>COUNTIFS(Absensi!$D9:$ND9,"CS",Absensi!$D$2:$ND$2,T$6)</f>
        <v>0</v>
      </c>
      <c r="U11">
        <f>COUNTIFS(Absensi!$D9:$ND9,"CS",Absensi!$D$2:$ND$2,U$6)</f>
        <v>0</v>
      </c>
      <c r="V11">
        <f>COUNTIFS(Absensi!$D9:$ND9,"CS",Absensi!$D$2:$ND$2,V$6)</f>
        <v>0</v>
      </c>
      <c r="W11">
        <f>COUNTIFS(Absensi!$D9:$ND9,"CS",Absensi!$D$2:$ND$2,W$6)</f>
        <v>0</v>
      </c>
      <c r="X11">
        <f>COUNTIFS(Absensi!$D9:$ND9,"CS",Absensi!$D$2:$ND$2,X$6)</f>
        <v>0</v>
      </c>
      <c r="Y11">
        <f>COUNTIFS(Absensi!$D9:$ND9,"CS",Absensi!$D$2:$ND$2,Y$6)</f>
        <v>0</v>
      </c>
      <c r="Z11">
        <f>COUNTIFS(Absensi!$D9:$ND9,"CS",Absensi!$D$2:$ND$2,Z$6)</f>
        <v>0</v>
      </c>
      <c r="AA11">
        <f>COUNTIFS(Absensi!$D9:$ND9,"CS",Absensi!$D$2:$ND$2,AA$6)</f>
        <v>0</v>
      </c>
      <c r="AB11">
        <f>COUNTIFS(Absensi!$D9:$ND9,"CS",Absensi!$D$2:$ND$2,AB$6)</f>
        <v>0</v>
      </c>
      <c r="AC11">
        <f t="shared" si="2"/>
        <v>11.5</v>
      </c>
      <c r="AD11">
        <f t="shared" si="3"/>
        <v>11.5</v>
      </c>
      <c r="AE11">
        <f t="shared" si="4"/>
        <v>8.5</v>
      </c>
      <c r="AF11">
        <f t="shared" si="5"/>
        <v>8.5</v>
      </c>
      <c r="AG11">
        <f t="shared" si="6"/>
        <v>8.5</v>
      </c>
      <c r="AH11">
        <f t="shared" si="7"/>
        <v>6.5</v>
      </c>
      <c r="AI11">
        <f t="shared" si="8"/>
        <v>6.5</v>
      </c>
      <c r="AJ11">
        <f t="shared" si="9"/>
        <v>6.5</v>
      </c>
      <c r="AK11">
        <f t="shared" si="10"/>
        <v>3.5</v>
      </c>
      <c r="AL11">
        <f t="shared" si="11"/>
        <v>3.5</v>
      </c>
      <c r="AM11">
        <f t="shared" si="12"/>
        <v>3.5</v>
      </c>
      <c r="AN11">
        <f t="shared" si="13"/>
        <v>3.5</v>
      </c>
    </row>
    <row r="12" spans="1:40" x14ac:dyDescent="0.25">
      <c r="A12" s="26">
        <v>6</v>
      </c>
      <c r="B12" s="27" t="str">
        <f>Absensi!B10</f>
        <v>Gudang A</v>
      </c>
      <c r="C12" s="27" t="str">
        <f>Rekap!C12</f>
        <v>dika</v>
      </c>
      <c r="D12" s="46" t="str">
        <f t="shared" si="1"/>
        <v>Gudang Adika</v>
      </c>
      <c r="E12">
        <f>COUNTIFS(Absensi!$D10:$ND10,"C",Absensi!$D$2:$ND$2,E$6)</f>
        <v>2</v>
      </c>
      <c r="F12">
        <f>COUNTIFS(Absensi!$D10:$ND10,"C",Absensi!$D$2:$ND$2,F$6)</f>
        <v>0</v>
      </c>
      <c r="G12">
        <f>COUNTIFS(Absensi!$D10:$ND10,"C",Absensi!$D$2:$ND$2,G$6)</f>
        <v>4</v>
      </c>
      <c r="H12">
        <f>COUNTIFS(Absensi!$D10:$ND10,"C",Absensi!$D$2:$ND$2,H$6)</f>
        <v>2</v>
      </c>
      <c r="I12">
        <f>COUNTIFS(Absensi!$D10:$ND10,"C",Absensi!$D$2:$ND$2,I$6)</f>
        <v>0</v>
      </c>
      <c r="J12">
        <f>COUNTIFS(Absensi!$D10:$ND10,"C",Absensi!$D$2:$ND$2,J$6)</f>
        <v>1</v>
      </c>
      <c r="K12">
        <f>COUNTIFS(Absensi!$D10:$ND10,"C",Absensi!$D$2:$ND$2,K$6)</f>
        <v>1</v>
      </c>
      <c r="L12">
        <f>COUNTIFS(Absensi!$D10:$ND10,"C",Absensi!$D$2:$ND$2,L$6)</f>
        <v>0</v>
      </c>
      <c r="M12">
        <f>COUNTIFS(Absensi!$D10:$ND10,"C",Absensi!$D$2:$ND$2,M$6)</f>
        <v>0</v>
      </c>
      <c r="N12">
        <f>COUNTIFS(Absensi!$D10:$ND10,"C",Absensi!$D$2:$ND$2,N$6)</f>
        <v>0</v>
      </c>
      <c r="O12">
        <f>COUNTIFS(Absensi!$D10:$ND10,"C",Absensi!$D$2:$ND$2,O$6)</f>
        <v>0</v>
      </c>
      <c r="P12">
        <f>COUNTIFS(Absensi!$D10:$ND10,"C",Absensi!$D$2:$ND$2,P$6)</f>
        <v>0</v>
      </c>
      <c r="Q12">
        <f>COUNTIFS(Absensi!$D10:$ND10,"CS",Absensi!$D$2:$ND$2,Q$6)</f>
        <v>0</v>
      </c>
      <c r="R12">
        <f>COUNTIFS(Absensi!$D10:$ND10,"CS",Absensi!$D$2:$ND$2,R$6)</f>
        <v>0</v>
      </c>
      <c r="S12">
        <f>COUNTIFS(Absensi!$D10:$ND10,"CS",Absensi!$D$2:$ND$2,S$6)</f>
        <v>0</v>
      </c>
      <c r="T12">
        <f>COUNTIFS(Absensi!$D10:$ND10,"CS",Absensi!$D$2:$ND$2,T$6)</f>
        <v>0</v>
      </c>
      <c r="U12">
        <f>COUNTIFS(Absensi!$D10:$ND10,"CS",Absensi!$D$2:$ND$2,U$6)</f>
        <v>0</v>
      </c>
      <c r="V12">
        <f>COUNTIFS(Absensi!$D10:$ND10,"CS",Absensi!$D$2:$ND$2,V$6)</f>
        <v>0</v>
      </c>
      <c r="W12">
        <f>COUNTIFS(Absensi!$D10:$ND10,"CS",Absensi!$D$2:$ND$2,W$6)</f>
        <v>0</v>
      </c>
      <c r="X12">
        <f>COUNTIFS(Absensi!$D10:$ND10,"CS",Absensi!$D$2:$ND$2,X$6)</f>
        <v>0</v>
      </c>
      <c r="Y12">
        <f>COUNTIFS(Absensi!$D10:$ND10,"CS",Absensi!$D$2:$ND$2,Y$6)</f>
        <v>0</v>
      </c>
      <c r="Z12">
        <f>COUNTIFS(Absensi!$D10:$ND10,"CS",Absensi!$D$2:$ND$2,Z$6)</f>
        <v>0</v>
      </c>
      <c r="AA12">
        <f>COUNTIFS(Absensi!$D10:$ND10,"CS",Absensi!$D$2:$ND$2,AA$6)</f>
        <v>0</v>
      </c>
      <c r="AB12">
        <f>COUNTIFS(Absensi!$D10:$ND10,"CS",Absensi!$D$2:$ND$2,AB$6)</f>
        <v>0</v>
      </c>
      <c r="AC12">
        <f t="shared" si="2"/>
        <v>10</v>
      </c>
      <c r="AD12">
        <f t="shared" si="3"/>
        <v>10</v>
      </c>
      <c r="AE12">
        <f t="shared" si="4"/>
        <v>6</v>
      </c>
      <c r="AF12">
        <f t="shared" si="5"/>
        <v>4</v>
      </c>
      <c r="AG12">
        <f t="shared" si="6"/>
        <v>4</v>
      </c>
      <c r="AH12">
        <f t="shared" si="7"/>
        <v>3</v>
      </c>
      <c r="AI12">
        <f t="shared" si="8"/>
        <v>2</v>
      </c>
      <c r="AJ12">
        <f t="shared" si="9"/>
        <v>2</v>
      </c>
      <c r="AK12">
        <f t="shared" si="10"/>
        <v>2</v>
      </c>
      <c r="AL12">
        <f t="shared" si="11"/>
        <v>2</v>
      </c>
      <c r="AM12">
        <f t="shared" si="12"/>
        <v>2</v>
      </c>
      <c r="AN12">
        <f t="shared" si="13"/>
        <v>2</v>
      </c>
    </row>
    <row r="13" spans="1:40" x14ac:dyDescent="0.25">
      <c r="A13" s="26">
        <v>7</v>
      </c>
      <c r="B13" s="27" t="str">
        <f>Absensi!B11</f>
        <v>Gudang A</v>
      </c>
      <c r="C13" s="27" t="str">
        <f>Rekap!C13</f>
        <v>Mella Hariyati</v>
      </c>
      <c r="D13" s="46" t="str">
        <f t="shared" si="1"/>
        <v>Gudang AMella Hariyati</v>
      </c>
      <c r="E13">
        <f>COUNTIFS(Absensi!$D11:$ND11,"C",Absensi!$D$2:$ND$2,E$6)</f>
        <v>0</v>
      </c>
      <c r="F13">
        <f>COUNTIFS(Absensi!$D11:$ND11,"C",Absensi!$D$2:$ND$2,F$6)</f>
        <v>0</v>
      </c>
      <c r="G13">
        <f>COUNTIFS(Absensi!$D11:$ND11,"C",Absensi!$D$2:$ND$2,G$6)</f>
        <v>2</v>
      </c>
      <c r="H13">
        <f>COUNTIFS(Absensi!$D11:$ND11,"C",Absensi!$D$2:$ND$2,H$6)</f>
        <v>0</v>
      </c>
      <c r="I13">
        <f>COUNTIFS(Absensi!$D11:$ND11,"C",Absensi!$D$2:$ND$2,I$6)</f>
        <v>0</v>
      </c>
      <c r="J13">
        <f>COUNTIFS(Absensi!$D11:$ND11,"C",Absensi!$D$2:$ND$2,J$6)</f>
        <v>0</v>
      </c>
      <c r="K13">
        <f>COUNTIFS(Absensi!$D11:$ND11,"C",Absensi!$D$2:$ND$2,K$6)</f>
        <v>1</v>
      </c>
      <c r="L13">
        <f>COUNTIFS(Absensi!$D11:$ND11,"C",Absensi!$D$2:$ND$2,L$6)</f>
        <v>0</v>
      </c>
      <c r="M13">
        <f>COUNTIFS(Absensi!$D11:$ND11,"C",Absensi!$D$2:$ND$2,M$6)</f>
        <v>0</v>
      </c>
      <c r="N13">
        <f>COUNTIFS(Absensi!$D11:$ND11,"C",Absensi!$D$2:$ND$2,N$6)</f>
        <v>0</v>
      </c>
      <c r="O13">
        <f>COUNTIFS(Absensi!$D11:$ND11,"C",Absensi!$D$2:$ND$2,O$6)</f>
        <v>0</v>
      </c>
      <c r="P13">
        <f>COUNTIFS(Absensi!$D11:$ND11,"C",Absensi!$D$2:$ND$2,P$6)</f>
        <v>0</v>
      </c>
      <c r="Q13">
        <f>COUNTIFS(Absensi!$D11:$ND11,"CS",Absensi!$D$2:$ND$2,Q$6)</f>
        <v>0</v>
      </c>
      <c r="R13">
        <f>COUNTIFS(Absensi!$D11:$ND11,"CS",Absensi!$D$2:$ND$2,R$6)</f>
        <v>0</v>
      </c>
      <c r="S13">
        <f>COUNTIFS(Absensi!$D11:$ND11,"CS",Absensi!$D$2:$ND$2,S$6)</f>
        <v>1</v>
      </c>
      <c r="T13">
        <f>COUNTIFS(Absensi!$D11:$ND11,"CS",Absensi!$D$2:$ND$2,T$6)</f>
        <v>0</v>
      </c>
      <c r="U13">
        <f>COUNTIFS(Absensi!$D11:$ND11,"CS",Absensi!$D$2:$ND$2,U$6)</f>
        <v>1</v>
      </c>
      <c r="V13">
        <f>COUNTIFS(Absensi!$D11:$ND11,"CS",Absensi!$D$2:$ND$2,V$6)</f>
        <v>0</v>
      </c>
      <c r="W13">
        <f>COUNTIFS(Absensi!$D11:$ND11,"CS",Absensi!$D$2:$ND$2,W$6)</f>
        <v>0</v>
      </c>
      <c r="X13">
        <f>COUNTIFS(Absensi!$D11:$ND11,"CS",Absensi!$D$2:$ND$2,X$6)</f>
        <v>0</v>
      </c>
      <c r="Y13">
        <f>COUNTIFS(Absensi!$D11:$ND11,"CS",Absensi!$D$2:$ND$2,Y$6)</f>
        <v>0</v>
      </c>
      <c r="Z13">
        <f>COUNTIFS(Absensi!$D11:$ND11,"CS",Absensi!$D$2:$ND$2,Z$6)</f>
        <v>0</v>
      </c>
      <c r="AA13">
        <f>COUNTIFS(Absensi!$D11:$ND11,"CS",Absensi!$D$2:$ND$2,AA$6)</f>
        <v>0</v>
      </c>
      <c r="AB13">
        <f>COUNTIFS(Absensi!$D11:$ND11,"CS",Absensi!$D$2:$ND$2,AB$6)</f>
        <v>0</v>
      </c>
      <c r="AC13">
        <f t="shared" si="2"/>
        <v>12</v>
      </c>
      <c r="AD13">
        <f t="shared" si="3"/>
        <v>12</v>
      </c>
      <c r="AE13">
        <f t="shared" si="4"/>
        <v>9.5</v>
      </c>
      <c r="AF13">
        <f t="shared" si="5"/>
        <v>9.5</v>
      </c>
      <c r="AG13">
        <f t="shared" si="6"/>
        <v>9</v>
      </c>
      <c r="AH13">
        <f t="shared" si="7"/>
        <v>9</v>
      </c>
      <c r="AI13">
        <f t="shared" si="8"/>
        <v>8</v>
      </c>
      <c r="AJ13">
        <f t="shared" si="9"/>
        <v>8</v>
      </c>
      <c r="AK13">
        <f t="shared" si="10"/>
        <v>8</v>
      </c>
      <c r="AL13">
        <f t="shared" si="11"/>
        <v>8</v>
      </c>
      <c r="AM13">
        <f t="shared" si="12"/>
        <v>8</v>
      </c>
      <c r="AN13">
        <f t="shared" si="13"/>
        <v>8</v>
      </c>
    </row>
    <row r="14" spans="1:40" x14ac:dyDescent="0.25">
      <c r="A14" s="26">
        <v>8</v>
      </c>
      <c r="B14" s="27" t="str">
        <f>Absensi!B12</f>
        <v>Gudang A</v>
      </c>
      <c r="C14" s="27" t="str">
        <f>Rekap!C14</f>
        <v>Egi Permana</v>
      </c>
      <c r="D14" s="46" t="str">
        <f t="shared" si="1"/>
        <v>Gudang AEgi Permana</v>
      </c>
      <c r="E14">
        <f>COUNTIFS(Absensi!$D12:$ND12,"C",Absensi!$D$2:$ND$2,E$6)</f>
        <v>0</v>
      </c>
      <c r="F14">
        <f>COUNTIFS(Absensi!$D12:$ND12,"C",Absensi!$D$2:$ND$2,F$6)</f>
        <v>1</v>
      </c>
      <c r="G14">
        <f>COUNTIFS(Absensi!$D12:$ND12,"C",Absensi!$D$2:$ND$2,G$6)</f>
        <v>3</v>
      </c>
      <c r="H14">
        <f>COUNTIFS(Absensi!$D12:$ND12,"C",Absensi!$D$2:$ND$2,H$6)</f>
        <v>1</v>
      </c>
      <c r="I14">
        <f>COUNTIFS(Absensi!$D12:$ND12,"C",Absensi!$D$2:$ND$2,I$6)</f>
        <v>2</v>
      </c>
      <c r="J14">
        <f>COUNTIFS(Absensi!$D12:$ND12,"C",Absensi!$D$2:$ND$2,J$6)</f>
        <v>1</v>
      </c>
      <c r="K14">
        <f>COUNTIFS(Absensi!$D12:$ND12,"C",Absensi!$D$2:$ND$2,K$6)</f>
        <v>3</v>
      </c>
      <c r="L14">
        <f>COUNTIFS(Absensi!$D12:$ND12,"C",Absensi!$D$2:$ND$2,L$6)</f>
        <v>0</v>
      </c>
      <c r="M14">
        <f>COUNTIFS(Absensi!$D12:$ND12,"C",Absensi!$D$2:$ND$2,M$6)</f>
        <v>3</v>
      </c>
      <c r="N14">
        <f>COUNTIFS(Absensi!$D12:$ND12,"C",Absensi!$D$2:$ND$2,N$6)</f>
        <v>0</v>
      </c>
      <c r="O14">
        <f>COUNTIFS(Absensi!$D12:$ND12,"C",Absensi!$D$2:$ND$2,O$6)</f>
        <v>0</v>
      </c>
      <c r="P14">
        <f>COUNTIFS(Absensi!$D12:$ND12,"C",Absensi!$D$2:$ND$2,P$6)</f>
        <v>0</v>
      </c>
      <c r="Q14">
        <f>COUNTIFS(Absensi!$D12:$ND12,"CS",Absensi!$D$2:$ND$2,Q$6)</f>
        <v>0</v>
      </c>
      <c r="R14">
        <f>COUNTIFS(Absensi!$D12:$ND12,"CS",Absensi!$D$2:$ND$2,R$6)</f>
        <v>0</v>
      </c>
      <c r="S14">
        <f>COUNTIFS(Absensi!$D12:$ND12,"CS",Absensi!$D$2:$ND$2,S$6)</f>
        <v>0</v>
      </c>
      <c r="T14">
        <f>COUNTIFS(Absensi!$D12:$ND12,"CS",Absensi!$D$2:$ND$2,T$6)</f>
        <v>0</v>
      </c>
      <c r="U14">
        <f>COUNTIFS(Absensi!$D12:$ND12,"CS",Absensi!$D$2:$ND$2,U$6)</f>
        <v>0</v>
      </c>
      <c r="V14">
        <f>COUNTIFS(Absensi!$D12:$ND12,"CS",Absensi!$D$2:$ND$2,V$6)</f>
        <v>0</v>
      </c>
      <c r="W14">
        <f>COUNTIFS(Absensi!$D12:$ND12,"CS",Absensi!$D$2:$ND$2,W$6)</f>
        <v>0</v>
      </c>
      <c r="X14">
        <f>COUNTIFS(Absensi!$D12:$ND12,"CS",Absensi!$D$2:$ND$2,X$6)</f>
        <v>0</v>
      </c>
      <c r="Y14">
        <f>COUNTIFS(Absensi!$D12:$ND12,"CS",Absensi!$D$2:$ND$2,Y$6)</f>
        <v>0</v>
      </c>
      <c r="Z14">
        <f>COUNTIFS(Absensi!$D12:$ND12,"CS",Absensi!$D$2:$ND$2,Z$6)</f>
        <v>0</v>
      </c>
      <c r="AA14">
        <f>COUNTIFS(Absensi!$D12:$ND12,"CS",Absensi!$D$2:$ND$2,AA$6)</f>
        <v>0</v>
      </c>
      <c r="AB14">
        <f>COUNTIFS(Absensi!$D12:$ND12,"CS",Absensi!$D$2:$ND$2,AB$6)</f>
        <v>0</v>
      </c>
      <c r="AC14">
        <f t="shared" si="2"/>
        <v>12</v>
      </c>
      <c r="AD14">
        <f t="shared" si="3"/>
        <v>11</v>
      </c>
      <c r="AE14">
        <f t="shared" si="4"/>
        <v>8</v>
      </c>
      <c r="AF14">
        <f t="shared" si="5"/>
        <v>7</v>
      </c>
      <c r="AG14">
        <f t="shared" si="6"/>
        <v>5</v>
      </c>
      <c r="AH14">
        <f t="shared" si="7"/>
        <v>4</v>
      </c>
      <c r="AI14">
        <f t="shared" si="8"/>
        <v>1</v>
      </c>
      <c r="AJ14">
        <f t="shared" si="9"/>
        <v>1</v>
      </c>
      <c r="AK14">
        <f t="shared" si="10"/>
        <v>-2</v>
      </c>
      <c r="AL14">
        <f t="shared" si="11"/>
        <v>-2</v>
      </c>
      <c r="AM14">
        <f t="shared" si="12"/>
        <v>-2</v>
      </c>
      <c r="AN14">
        <f t="shared" si="13"/>
        <v>-2</v>
      </c>
    </row>
    <row r="15" spans="1:40" x14ac:dyDescent="0.25">
      <c r="A15" s="26">
        <v>9</v>
      </c>
      <c r="B15" s="27" t="str">
        <f>Absensi!B13</f>
        <v>Gudang A</v>
      </c>
      <c r="C15" s="27" t="str">
        <f>Rekap!C15</f>
        <v>Dede Irawan</v>
      </c>
      <c r="D15" s="46" t="str">
        <f t="shared" si="1"/>
        <v>Gudang ADede Irawan</v>
      </c>
      <c r="E15">
        <f>COUNTIFS(Absensi!$D13:$ND13,"C",Absensi!$D$2:$ND$2,E$6)</f>
        <v>2</v>
      </c>
      <c r="F15">
        <f>COUNTIFS(Absensi!$D13:$ND13,"C",Absensi!$D$2:$ND$2,F$6)</f>
        <v>2</v>
      </c>
      <c r="G15">
        <f>COUNTIFS(Absensi!$D13:$ND13,"C",Absensi!$D$2:$ND$2,G$6)</f>
        <v>3</v>
      </c>
      <c r="H15">
        <f>COUNTIFS(Absensi!$D13:$ND13,"C",Absensi!$D$2:$ND$2,H$6)</f>
        <v>0</v>
      </c>
      <c r="I15">
        <f>COUNTIFS(Absensi!$D13:$ND13,"C",Absensi!$D$2:$ND$2,I$6)</f>
        <v>1</v>
      </c>
      <c r="J15">
        <f>COUNTIFS(Absensi!$D13:$ND13,"C",Absensi!$D$2:$ND$2,J$6)</f>
        <v>0</v>
      </c>
      <c r="K15">
        <f>COUNTIFS(Absensi!$D13:$ND13,"C",Absensi!$D$2:$ND$2,K$6)</f>
        <v>0</v>
      </c>
      <c r="L15">
        <f>COUNTIFS(Absensi!$D13:$ND13,"C",Absensi!$D$2:$ND$2,L$6)</f>
        <v>0</v>
      </c>
      <c r="M15">
        <f>COUNTIFS(Absensi!$D13:$ND13,"C",Absensi!$D$2:$ND$2,M$6)</f>
        <v>1</v>
      </c>
      <c r="N15">
        <f>COUNTIFS(Absensi!$D13:$ND13,"C",Absensi!$D$2:$ND$2,N$6)</f>
        <v>0</v>
      </c>
      <c r="O15">
        <f>COUNTIFS(Absensi!$D13:$ND13,"C",Absensi!$D$2:$ND$2,O$6)</f>
        <v>0</v>
      </c>
      <c r="P15">
        <f>COUNTIFS(Absensi!$D13:$ND13,"C",Absensi!$D$2:$ND$2,P$6)</f>
        <v>0</v>
      </c>
      <c r="Q15">
        <f>COUNTIFS(Absensi!$D13:$ND13,"CS",Absensi!$D$2:$ND$2,Q$6)</f>
        <v>0</v>
      </c>
      <c r="R15">
        <f>COUNTIFS(Absensi!$D13:$ND13,"CS",Absensi!$D$2:$ND$2,R$6)</f>
        <v>0</v>
      </c>
      <c r="S15">
        <f>COUNTIFS(Absensi!$D13:$ND13,"CS",Absensi!$D$2:$ND$2,S$6)</f>
        <v>0</v>
      </c>
      <c r="T15">
        <f>COUNTIFS(Absensi!$D13:$ND13,"CS",Absensi!$D$2:$ND$2,T$6)</f>
        <v>0</v>
      </c>
      <c r="U15">
        <f>COUNTIFS(Absensi!$D13:$ND13,"CS",Absensi!$D$2:$ND$2,U$6)</f>
        <v>0</v>
      </c>
      <c r="V15">
        <f>COUNTIFS(Absensi!$D13:$ND13,"CS",Absensi!$D$2:$ND$2,V$6)</f>
        <v>0</v>
      </c>
      <c r="W15">
        <f>COUNTIFS(Absensi!$D13:$ND13,"CS",Absensi!$D$2:$ND$2,W$6)</f>
        <v>0</v>
      </c>
      <c r="X15">
        <f>COUNTIFS(Absensi!$D13:$ND13,"CS",Absensi!$D$2:$ND$2,X$6)</f>
        <v>0</v>
      </c>
      <c r="Y15">
        <f>COUNTIFS(Absensi!$D13:$ND13,"CS",Absensi!$D$2:$ND$2,Y$6)</f>
        <v>0</v>
      </c>
      <c r="Z15">
        <f>COUNTIFS(Absensi!$D13:$ND13,"CS",Absensi!$D$2:$ND$2,Z$6)</f>
        <v>0</v>
      </c>
      <c r="AA15">
        <f>COUNTIFS(Absensi!$D13:$ND13,"CS",Absensi!$D$2:$ND$2,AA$6)</f>
        <v>0</v>
      </c>
      <c r="AB15">
        <f>COUNTIFS(Absensi!$D13:$ND13,"CS",Absensi!$D$2:$ND$2,AB$6)</f>
        <v>0</v>
      </c>
      <c r="AC15">
        <f t="shared" si="2"/>
        <v>10</v>
      </c>
      <c r="AD15">
        <f t="shared" si="3"/>
        <v>8</v>
      </c>
      <c r="AE15">
        <f t="shared" si="4"/>
        <v>5</v>
      </c>
      <c r="AF15">
        <f t="shared" si="5"/>
        <v>5</v>
      </c>
      <c r="AG15">
        <f t="shared" si="6"/>
        <v>4</v>
      </c>
      <c r="AH15">
        <f t="shared" si="7"/>
        <v>4</v>
      </c>
      <c r="AI15">
        <f t="shared" si="8"/>
        <v>4</v>
      </c>
      <c r="AJ15">
        <f t="shared" si="9"/>
        <v>4</v>
      </c>
      <c r="AK15">
        <f t="shared" si="10"/>
        <v>3</v>
      </c>
      <c r="AL15">
        <f t="shared" si="11"/>
        <v>3</v>
      </c>
      <c r="AM15">
        <f t="shared" si="12"/>
        <v>3</v>
      </c>
      <c r="AN15">
        <f t="shared" si="13"/>
        <v>3</v>
      </c>
    </row>
    <row r="16" spans="1:40" x14ac:dyDescent="0.25">
      <c r="A16" s="26">
        <v>10</v>
      </c>
      <c r="B16" s="27" t="str">
        <f>Absensi!B14</f>
        <v>Gudang A</v>
      </c>
      <c r="C16" s="27" t="str">
        <f>Rekap!C16</f>
        <v>eri mutaqin</v>
      </c>
      <c r="D16" s="46" t="str">
        <f t="shared" si="1"/>
        <v>Gudang Aeri mutaqin</v>
      </c>
      <c r="E16">
        <f>COUNTIFS(Absensi!$D14:$ND14,"C",Absensi!$D$2:$ND$2,E$6)</f>
        <v>0</v>
      </c>
      <c r="F16">
        <f>COUNTIFS(Absensi!$D14:$ND14,"C",Absensi!$D$2:$ND$2,F$6)</f>
        <v>0</v>
      </c>
      <c r="G16">
        <f>COUNTIFS(Absensi!$D14:$ND14,"C",Absensi!$D$2:$ND$2,G$6)</f>
        <v>3</v>
      </c>
      <c r="H16">
        <f>COUNTIFS(Absensi!$D14:$ND14,"C",Absensi!$D$2:$ND$2,H$6)</f>
        <v>0</v>
      </c>
      <c r="I16">
        <f>COUNTIFS(Absensi!$D14:$ND14,"C",Absensi!$D$2:$ND$2,I$6)</f>
        <v>1</v>
      </c>
      <c r="J16">
        <f>COUNTIFS(Absensi!$D14:$ND14,"C",Absensi!$D$2:$ND$2,J$6)</f>
        <v>0</v>
      </c>
      <c r="K16">
        <f>COUNTIFS(Absensi!$D14:$ND14,"C",Absensi!$D$2:$ND$2,K$6)</f>
        <v>0</v>
      </c>
      <c r="L16">
        <f>COUNTIFS(Absensi!$D14:$ND14,"C",Absensi!$D$2:$ND$2,L$6)</f>
        <v>1</v>
      </c>
      <c r="M16">
        <f>COUNTIFS(Absensi!$D14:$ND14,"C",Absensi!$D$2:$ND$2,M$6)</f>
        <v>2</v>
      </c>
      <c r="N16">
        <f>COUNTIFS(Absensi!$D14:$ND14,"C",Absensi!$D$2:$ND$2,N$6)</f>
        <v>0</v>
      </c>
      <c r="O16">
        <f>COUNTIFS(Absensi!$D14:$ND14,"C",Absensi!$D$2:$ND$2,O$6)</f>
        <v>0</v>
      </c>
      <c r="P16">
        <f>COUNTIFS(Absensi!$D14:$ND14,"C",Absensi!$D$2:$ND$2,P$6)</f>
        <v>0</v>
      </c>
      <c r="Q16">
        <f>COUNTIFS(Absensi!$D14:$ND14,"CS",Absensi!$D$2:$ND$2,Q$6)</f>
        <v>0</v>
      </c>
      <c r="R16">
        <f>COUNTIFS(Absensi!$D14:$ND14,"CS",Absensi!$D$2:$ND$2,R$6)</f>
        <v>0</v>
      </c>
      <c r="S16">
        <f>COUNTIFS(Absensi!$D14:$ND14,"CS",Absensi!$D$2:$ND$2,S$6)</f>
        <v>0</v>
      </c>
      <c r="T16">
        <f>COUNTIFS(Absensi!$D14:$ND14,"CS",Absensi!$D$2:$ND$2,T$6)</f>
        <v>0</v>
      </c>
      <c r="U16">
        <f>COUNTIFS(Absensi!$D14:$ND14,"CS",Absensi!$D$2:$ND$2,U$6)</f>
        <v>0</v>
      </c>
      <c r="V16">
        <f>COUNTIFS(Absensi!$D14:$ND14,"CS",Absensi!$D$2:$ND$2,V$6)</f>
        <v>0</v>
      </c>
      <c r="W16">
        <f>COUNTIFS(Absensi!$D14:$ND14,"CS",Absensi!$D$2:$ND$2,W$6)</f>
        <v>0</v>
      </c>
      <c r="X16">
        <f>COUNTIFS(Absensi!$D14:$ND14,"CS",Absensi!$D$2:$ND$2,X$6)</f>
        <v>0</v>
      </c>
      <c r="Y16">
        <f>COUNTIFS(Absensi!$D14:$ND14,"CS",Absensi!$D$2:$ND$2,Y$6)</f>
        <v>0</v>
      </c>
      <c r="Z16">
        <f>COUNTIFS(Absensi!$D14:$ND14,"CS",Absensi!$D$2:$ND$2,Z$6)</f>
        <v>0</v>
      </c>
      <c r="AA16">
        <f>COUNTIFS(Absensi!$D14:$ND14,"CS",Absensi!$D$2:$ND$2,AA$6)</f>
        <v>0</v>
      </c>
      <c r="AB16">
        <f>COUNTIFS(Absensi!$D14:$ND14,"CS",Absensi!$D$2:$ND$2,AB$6)</f>
        <v>0</v>
      </c>
      <c r="AC16">
        <f t="shared" si="2"/>
        <v>12</v>
      </c>
      <c r="AD16">
        <f t="shared" si="3"/>
        <v>12</v>
      </c>
      <c r="AE16">
        <f t="shared" si="4"/>
        <v>9</v>
      </c>
      <c r="AF16">
        <f t="shared" si="5"/>
        <v>9</v>
      </c>
      <c r="AG16">
        <f t="shared" si="6"/>
        <v>8</v>
      </c>
      <c r="AH16">
        <f t="shared" si="7"/>
        <v>8</v>
      </c>
      <c r="AI16">
        <f t="shared" si="8"/>
        <v>8</v>
      </c>
      <c r="AJ16">
        <f t="shared" si="9"/>
        <v>7</v>
      </c>
      <c r="AK16">
        <f t="shared" si="10"/>
        <v>5</v>
      </c>
      <c r="AL16">
        <f t="shared" si="11"/>
        <v>5</v>
      </c>
      <c r="AM16">
        <f t="shared" si="12"/>
        <v>5</v>
      </c>
      <c r="AN16">
        <f t="shared" si="13"/>
        <v>5</v>
      </c>
    </row>
    <row r="17" spans="1:40" ht="30" x14ac:dyDescent="0.25">
      <c r="A17" s="26">
        <v>11</v>
      </c>
      <c r="B17" s="27" t="str">
        <f>Absensi!B15</f>
        <v>Gudang A</v>
      </c>
      <c r="C17" s="27" t="str">
        <f>Rekap!C17</f>
        <v>Fiqri Amirulloh Maulidan</v>
      </c>
      <c r="D17" s="46" t="str">
        <f t="shared" si="1"/>
        <v>Gudang AFiqri Amirulloh Maulidan</v>
      </c>
      <c r="E17">
        <f>COUNTIFS(Absensi!$D15:$ND15,"C",Absensi!$D$2:$ND$2,E$6)</f>
        <v>0</v>
      </c>
      <c r="F17">
        <f>COUNTIFS(Absensi!$D15:$ND15,"C",Absensi!$D$2:$ND$2,F$6)</f>
        <v>0</v>
      </c>
      <c r="G17">
        <f>COUNTIFS(Absensi!$D15:$ND15,"C",Absensi!$D$2:$ND$2,G$6)</f>
        <v>3</v>
      </c>
      <c r="H17">
        <f>COUNTIFS(Absensi!$D15:$ND15,"C",Absensi!$D$2:$ND$2,H$6)</f>
        <v>0</v>
      </c>
      <c r="I17">
        <f>COUNTIFS(Absensi!$D15:$ND15,"C",Absensi!$D$2:$ND$2,I$6)</f>
        <v>0</v>
      </c>
      <c r="J17">
        <f>COUNTIFS(Absensi!$D15:$ND15,"C",Absensi!$D$2:$ND$2,J$6)</f>
        <v>0</v>
      </c>
      <c r="K17">
        <f>COUNTIFS(Absensi!$D15:$ND15,"C",Absensi!$D$2:$ND$2,K$6)</f>
        <v>0</v>
      </c>
      <c r="L17">
        <f>COUNTIFS(Absensi!$D15:$ND15,"C",Absensi!$D$2:$ND$2,L$6)</f>
        <v>0</v>
      </c>
      <c r="M17">
        <f>COUNTIFS(Absensi!$D15:$ND15,"C",Absensi!$D$2:$ND$2,M$6)</f>
        <v>0</v>
      </c>
      <c r="N17">
        <f>COUNTIFS(Absensi!$D15:$ND15,"C",Absensi!$D$2:$ND$2,N$6)</f>
        <v>0</v>
      </c>
      <c r="O17">
        <f>COUNTIFS(Absensi!$D15:$ND15,"C",Absensi!$D$2:$ND$2,O$6)</f>
        <v>0</v>
      </c>
      <c r="P17">
        <f>COUNTIFS(Absensi!$D15:$ND15,"C",Absensi!$D$2:$ND$2,P$6)</f>
        <v>0</v>
      </c>
      <c r="Q17">
        <f>COUNTIFS(Absensi!$D15:$ND15,"CS",Absensi!$D$2:$ND$2,Q$6)</f>
        <v>0</v>
      </c>
      <c r="R17">
        <f>COUNTIFS(Absensi!$D15:$ND15,"CS",Absensi!$D$2:$ND$2,R$6)</f>
        <v>0</v>
      </c>
      <c r="S17">
        <f>COUNTIFS(Absensi!$D15:$ND15,"CS",Absensi!$D$2:$ND$2,S$6)</f>
        <v>0</v>
      </c>
      <c r="T17">
        <f>COUNTIFS(Absensi!$D15:$ND15,"CS",Absensi!$D$2:$ND$2,T$6)</f>
        <v>0</v>
      </c>
      <c r="U17">
        <f>COUNTIFS(Absensi!$D15:$ND15,"CS",Absensi!$D$2:$ND$2,U$6)</f>
        <v>0</v>
      </c>
      <c r="V17">
        <f>COUNTIFS(Absensi!$D15:$ND15,"CS",Absensi!$D$2:$ND$2,V$6)</f>
        <v>0</v>
      </c>
      <c r="W17">
        <f>COUNTIFS(Absensi!$D15:$ND15,"CS",Absensi!$D$2:$ND$2,W$6)</f>
        <v>0</v>
      </c>
      <c r="X17">
        <f>COUNTIFS(Absensi!$D15:$ND15,"CS",Absensi!$D$2:$ND$2,X$6)</f>
        <v>0</v>
      </c>
      <c r="Y17">
        <f>COUNTIFS(Absensi!$D15:$ND15,"CS",Absensi!$D$2:$ND$2,Y$6)</f>
        <v>0</v>
      </c>
      <c r="Z17">
        <f>COUNTIFS(Absensi!$D15:$ND15,"CS",Absensi!$D$2:$ND$2,Z$6)</f>
        <v>0</v>
      </c>
      <c r="AA17">
        <f>COUNTIFS(Absensi!$D15:$ND15,"CS",Absensi!$D$2:$ND$2,AA$6)</f>
        <v>0</v>
      </c>
      <c r="AB17">
        <f>COUNTIFS(Absensi!$D15:$ND15,"CS",Absensi!$D$2:$ND$2,AB$6)</f>
        <v>0</v>
      </c>
      <c r="AC17">
        <f t="shared" si="2"/>
        <v>12</v>
      </c>
      <c r="AD17">
        <f t="shared" si="3"/>
        <v>12</v>
      </c>
      <c r="AE17">
        <f t="shared" si="4"/>
        <v>9</v>
      </c>
      <c r="AF17">
        <f t="shared" si="5"/>
        <v>9</v>
      </c>
      <c r="AG17">
        <f t="shared" si="6"/>
        <v>9</v>
      </c>
      <c r="AH17">
        <f t="shared" si="7"/>
        <v>9</v>
      </c>
      <c r="AI17">
        <f t="shared" si="8"/>
        <v>9</v>
      </c>
      <c r="AJ17">
        <f t="shared" si="9"/>
        <v>9</v>
      </c>
      <c r="AK17">
        <f t="shared" si="10"/>
        <v>9</v>
      </c>
      <c r="AL17">
        <f t="shared" si="11"/>
        <v>9</v>
      </c>
      <c r="AM17">
        <f t="shared" si="12"/>
        <v>9</v>
      </c>
      <c r="AN17">
        <f t="shared" si="13"/>
        <v>9</v>
      </c>
    </row>
    <row r="18" spans="1:40" x14ac:dyDescent="0.25">
      <c r="A18" s="26">
        <v>12</v>
      </c>
      <c r="B18" s="27" t="str">
        <f>Absensi!B16</f>
        <v>Gudang A</v>
      </c>
      <c r="C18" s="27" t="str">
        <f>Rekap!C18</f>
        <v>Jihan</v>
      </c>
      <c r="D18" s="46" t="str">
        <f t="shared" si="1"/>
        <v>Gudang AJihan</v>
      </c>
      <c r="E18">
        <f>COUNTIFS(Absensi!$D16:$ND16,"C",Absensi!$D$2:$ND$2,E$6)</f>
        <v>0</v>
      </c>
      <c r="F18">
        <f>COUNTIFS(Absensi!$D16:$ND16,"C",Absensi!$D$2:$ND$2,F$6)</f>
        <v>0</v>
      </c>
      <c r="G18">
        <f>COUNTIFS(Absensi!$D16:$ND16,"C",Absensi!$D$2:$ND$2,G$6)</f>
        <v>2</v>
      </c>
      <c r="H18">
        <f>COUNTIFS(Absensi!$D16:$ND16,"C",Absensi!$D$2:$ND$2,H$6)</f>
        <v>0</v>
      </c>
      <c r="I18">
        <f>COUNTIFS(Absensi!$D16:$ND16,"C",Absensi!$D$2:$ND$2,I$6)</f>
        <v>0</v>
      </c>
      <c r="J18">
        <f>COUNTIFS(Absensi!$D16:$ND16,"C",Absensi!$D$2:$ND$2,J$6)</f>
        <v>0</v>
      </c>
      <c r="K18">
        <f>COUNTIFS(Absensi!$D16:$ND16,"C",Absensi!$D$2:$ND$2,K$6)</f>
        <v>0</v>
      </c>
      <c r="L18">
        <f>COUNTIFS(Absensi!$D16:$ND16,"C",Absensi!$D$2:$ND$2,L$6)</f>
        <v>0</v>
      </c>
      <c r="M18">
        <f>COUNTIFS(Absensi!$D16:$ND16,"C",Absensi!$D$2:$ND$2,M$6)</f>
        <v>0</v>
      </c>
      <c r="N18">
        <f>COUNTIFS(Absensi!$D16:$ND16,"C",Absensi!$D$2:$ND$2,N$6)</f>
        <v>0</v>
      </c>
      <c r="O18">
        <f>COUNTIFS(Absensi!$D16:$ND16,"C",Absensi!$D$2:$ND$2,O$6)</f>
        <v>0</v>
      </c>
      <c r="P18">
        <f>COUNTIFS(Absensi!$D16:$ND16,"C",Absensi!$D$2:$ND$2,P$6)</f>
        <v>0</v>
      </c>
      <c r="Q18">
        <f>COUNTIFS(Absensi!$D16:$ND16,"CS",Absensi!$D$2:$ND$2,Q$6)</f>
        <v>0</v>
      </c>
      <c r="R18">
        <f>COUNTIFS(Absensi!$D16:$ND16,"CS",Absensi!$D$2:$ND$2,R$6)</f>
        <v>0</v>
      </c>
      <c r="S18">
        <f>COUNTIFS(Absensi!$D16:$ND16,"CS",Absensi!$D$2:$ND$2,S$6)</f>
        <v>1</v>
      </c>
      <c r="T18">
        <f>COUNTIFS(Absensi!$D16:$ND16,"CS",Absensi!$D$2:$ND$2,T$6)</f>
        <v>0</v>
      </c>
      <c r="U18">
        <f>COUNTIFS(Absensi!$D16:$ND16,"CS",Absensi!$D$2:$ND$2,U$6)</f>
        <v>0</v>
      </c>
      <c r="V18">
        <f>COUNTIFS(Absensi!$D16:$ND16,"CS",Absensi!$D$2:$ND$2,V$6)</f>
        <v>0</v>
      </c>
      <c r="W18">
        <f>COUNTIFS(Absensi!$D16:$ND16,"CS",Absensi!$D$2:$ND$2,W$6)</f>
        <v>0</v>
      </c>
      <c r="X18">
        <f>COUNTIFS(Absensi!$D16:$ND16,"CS",Absensi!$D$2:$ND$2,X$6)</f>
        <v>0</v>
      </c>
      <c r="Y18">
        <f>COUNTIFS(Absensi!$D16:$ND16,"CS",Absensi!$D$2:$ND$2,Y$6)</f>
        <v>0</v>
      </c>
      <c r="Z18">
        <f>COUNTIFS(Absensi!$D16:$ND16,"CS",Absensi!$D$2:$ND$2,Z$6)</f>
        <v>0</v>
      </c>
      <c r="AA18">
        <f>COUNTIFS(Absensi!$D16:$ND16,"CS",Absensi!$D$2:$ND$2,AA$6)</f>
        <v>0</v>
      </c>
      <c r="AB18">
        <f>COUNTIFS(Absensi!$D16:$ND16,"CS",Absensi!$D$2:$ND$2,AB$6)</f>
        <v>0</v>
      </c>
      <c r="AC18">
        <f t="shared" si="2"/>
        <v>12</v>
      </c>
      <c r="AD18">
        <f t="shared" si="3"/>
        <v>12</v>
      </c>
      <c r="AE18">
        <f t="shared" si="4"/>
        <v>9.5</v>
      </c>
      <c r="AF18">
        <f t="shared" si="5"/>
        <v>9.5</v>
      </c>
      <c r="AG18">
        <f t="shared" si="6"/>
        <v>9.5</v>
      </c>
      <c r="AH18">
        <f t="shared" si="7"/>
        <v>9.5</v>
      </c>
      <c r="AI18">
        <f t="shared" si="8"/>
        <v>9.5</v>
      </c>
      <c r="AJ18">
        <f t="shared" si="9"/>
        <v>9.5</v>
      </c>
      <c r="AK18">
        <f t="shared" si="10"/>
        <v>9.5</v>
      </c>
      <c r="AL18">
        <f t="shared" si="11"/>
        <v>9.5</v>
      </c>
      <c r="AM18">
        <f t="shared" si="12"/>
        <v>9.5</v>
      </c>
      <c r="AN18">
        <f t="shared" si="13"/>
        <v>9.5</v>
      </c>
    </row>
    <row r="19" spans="1:40" x14ac:dyDescent="0.25">
      <c r="A19" s="26">
        <v>13</v>
      </c>
      <c r="B19" s="27" t="str">
        <f>Absensi!B17</f>
        <v>Gudang A</v>
      </c>
      <c r="C19" s="27" t="str">
        <f>Rekap!C19</f>
        <v>Samawi</v>
      </c>
      <c r="D19" s="46" t="str">
        <f t="shared" si="1"/>
        <v>Gudang ASamawi</v>
      </c>
      <c r="E19">
        <f>COUNTIFS(Absensi!$D17:$ND17,"C",Absensi!$D$2:$ND$2,E$6)</f>
        <v>2</v>
      </c>
      <c r="F19">
        <f>COUNTIFS(Absensi!$D17:$ND17,"C",Absensi!$D$2:$ND$2,F$6)</f>
        <v>1</v>
      </c>
      <c r="G19">
        <f>COUNTIFS(Absensi!$D17:$ND17,"C",Absensi!$D$2:$ND$2,G$6)</f>
        <v>3</v>
      </c>
      <c r="H19">
        <f>COUNTIFS(Absensi!$D17:$ND17,"C",Absensi!$D$2:$ND$2,H$6)</f>
        <v>0</v>
      </c>
      <c r="I19">
        <f>COUNTIFS(Absensi!$D17:$ND17,"C",Absensi!$D$2:$ND$2,I$6)</f>
        <v>0</v>
      </c>
      <c r="J19">
        <f>COUNTIFS(Absensi!$D17:$ND17,"C",Absensi!$D$2:$ND$2,J$6)</f>
        <v>1</v>
      </c>
      <c r="K19">
        <f>COUNTIFS(Absensi!$D17:$ND17,"C",Absensi!$D$2:$ND$2,K$6)</f>
        <v>0</v>
      </c>
      <c r="L19">
        <f>COUNTIFS(Absensi!$D17:$ND17,"C",Absensi!$D$2:$ND$2,L$6)</f>
        <v>1</v>
      </c>
      <c r="M19">
        <f>COUNTIFS(Absensi!$D17:$ND17,"C",Absensi!$D$2:$ND$2,M$6)</f>
        <v>0</v>
      </c>
      <c r="N19">
        <f>COUNTIFS(Absensi!$D17:$ND17,"C",Absensi!$D$2:$ND$2,N$6)</f>
        <v>0</v>
      </c>
      <c r="O19">
        <f>COUNTIFS(Absensi!$D17:$ND17,"C",Absensi!$D$2:$ND$2,O$6)</f>
        <v>0</v>
      </c>
      <c r="P19">
        <f>COUNTIFS(Absensi!$D17:$ND17,"C",Absensi!$D$2:$ND$2,P$6)</f>
        <v>0</v>
      </c>
      <c r="Q19">
        <f>COUNTIFS(Absensi!$D17:$ND17,"CS",Absensi!$D$2:$ND$2,Q$6)</f>
        <v>0</v>
      </c>
      <c r="R19">
        <f>COUNTIFS(Absensi!$D17:$ND17,"CS",Absensi!$D$2:$ND$2,R$6)</f>
        <v>0</v>
      </c>
      <c r="S19">
        <f>COUNTIFS(Absensi!$D17:$ND17,"CS",Absensi!$D$2:$ND$2,S$6)</f>
        <v>0</v>
      </c>
      <c r="T19">
        <f>COUNTIFS(Absensi!$D17:$ND17,"CS",Absensi!$D$2:$ND$2,T$6)</f>
        <v>0</v>
      </c>
      <c r="U19">
        <f>COUNTIFS(Absensi!$D17:$ND17,"CS",Absensi!$D$2:$ND$2,U$6)</f>
        <v>0</v>
      </c>
      <c r="V19">
        <f>COUNTIFS(Absensi!$D17:$ND17,"CS",Absensi!$D$2:$ND$2,V$6)</f>
        <v>0</v>
      </c>
      <c r="W19">
        <f>COUNTIFS(Absensi!$D17:$ND17,"CS",Absensi!$D$2:$ND$2,W$6)</f>
        <v>0</v>
      </c>
      <c r="X19">
        <f>COUNTIFS(Absensi!$D17:$ND17,"CS",Absensi!$D$2:$ND$2,X$6)</f>
        <v>0</v>
      </c>
      <c r="Y19">
        <f>COUNTIFS(Absensi!$D17:$ND17,"CS",Absensi!$D$2:$ND$2,Y$6)</f>
        <v>0</v>
      </c>
      <c r="Z19">
        <f>COUNTIFS(Absensi!$D17:$ND17,"CS",Absensi!$D$2:$ND$2,Z$6)</f>
        <v>0</v>
      </c>
      <c r="AA19">
        <f>COUNTIFS(Absensi!$D17:$ND17,"CS",Absensi!$D$2:$ND$2,AA$6)</f>
        <v>0</v>
      </c>
      <c r="AB19">
        <f>COUNTIFS(Absensi!$D17:$ND17,"CS",Absensi!$D$2:$ND$2,AB$6)</f>
        <v>0</v>
      </c>
      <c r="AC19">
        <f t="shared" si="2"/>
        <v>10</v>
      </c>
      <c r="AD19">
        <f t="shared" si="3"/>
        <v>9</v>
      </c>
      <c r="AE19">
        <f t="shared" si="4"/>
        <v>6</v>
      </c>
      <c r="AF19">
        <f t="shared" si="5"/>
        <v>6</v>
      </c>
      <c r="AG19">
        <f t="shared" si="6"/>
        <v>6</v>
      </c>
      <c r="AH19">
        <f t="shared" si="7"/>
        <v>5</v>
      </c>
      <c r="AI19">
        <f t="shared" si="8"/>
        <v>5</v>
      </c>
      <c r="AJ19">
        <f t="shared" si="9"/>
        <v>4</v>
      </c>
      <c r="AK19">
        <f t="shared" si="10"/>
        <v>4</v>
      </c>
      <c r="AL19">
        <f t="shared" si="11"/>
        <v>4</v>
      </c>
      <c r="AM19">
        <f t="shared" si="12"/>
        <v>4</v>
      </c>
      <c r="AN19">
        <f t="shared" si="13"/>
        <v>4</v>
      </c>
    </row>
    <row r="20" spans="1:40" ht="30" x14ac:dyDescent="0.25">
      <c r="A20" s="26">
        <v>14</v>
      </c>
      <c r="B20" s="27" t="str">
        <f>Absensi!B18</f>
        <v>Gudang A</v>
      </c>
      <c r="C20" s="27" t="str">
        <f>Rekap!C20</f>
        <v>Guruh Fathur Rohman</v>
      </c>
      <c r="D20" s="46" t="str">
        <f t="shared" si="1"/>
        <v>Gudang AGuruh Fathur Rohman</v>
      </c>
      <c r="E20">
        <f>COUNTIFS(Absensi!$D18:$ND18,"C",Absensi!$D$2:$ND$2,E$6)</f>
        <v>0</v>
      </c>
      <c r="F20">
        <f>COUNTIFS(Absensi!$D18:$ND18,"C",Absensi!$D$2:$ND$2,F$6)</f>
        <v>0</v>
      </c>
      <c r="G20">
        <f>COUNTIFS(Absensi!$D18:$ND18,"C",Absensi!$D$2:$ND$2,G$6)</f>
        <v>3</v>
      </c>
      <c r="H20">
        <f>COUNTIFS(Absensi!$D18:$ND18,"C",Absensi!$D$2:$ND$2,H$6)</f>
        <v>0</v>
      </c>
      <c r="I20">
        <f>COUNTIFS(Absensi!$D18:$ND18,"C",Absensi!$D$2:$ND$2,I$6)</f>
        <v>0</v>
      </c>
      <c r="J20">
        <f>COUNTIFS(Absensi!$D18:$ND18,"C",Absensi!$D$2:$ND$2,J$6)</f>
        <v>0</v>
      </c>
      <c r="K20">
        <f>COUNTIFS(Absensi!$D18:$ND18,"C",Absensi!$D$2:$ND$2,K$6)</f>
        <v>0</v>
      </c>
      <c r="L20">
        <f>COUNTIFS(Absensi!$D18:$ND18,"C",Absensi!$D$2:$ND$2,L$6)</f>
        <v>0</v>
      </c>
      <c r="M20">
        <f>COUNTIFS(Absensi!$D18:$ND18,"C",Absensi!$D$2:$ND$2,M$6)</f>
        <v>0</v>
      </c>
      <c r="N20">
        <f>COUNTIFS(Absensi!$D18:$ND18,"C",Absensi!$D$2:$ND$2,N$6)</f>
        <v>0</v>
      </c>
      <c r="O20">
        <f>COUNTIFS(Absensi!$D18:$ND18,"C",Absensi!$D$2:$ND$2,O$6)</f>
        <v>0</v>
      </c>
      <c r="P20">
        <f>COUNTIFS(Absensi!$D18:$ND18,"C",Absensi!$D$2:$ND$2,P$6)</f>
        <v>0</v>
      </c>
      <c r="Q20">
        <f>COUNTIFS(Absensi!$D18:$ND18,"CS",Absensi!$D$2:$ND$2,Q$6)</f>
        <v>0</v>
      </c>
      <c r="R20">
        <f>COUNTIFS(Absensi!$D18:$ND18,"CS",Absensi!$D$2:$ND$2,R$6)</f>
        <v>0</v>
      </c>
      <c r="S20">
        <f>COUNTIFS(Absensi!$D18:$ND18,"CS",Absensi!$D$2:$ND$2,S$6)</f>
        <v>0</v>
      </c>
      <c r="T20">
        <f>COUNTIFS(Absensi!$D18:$ND18,"CS",Absensi!$D$2:$ND$2,T$6)</f>
        <v>0</v>
      </c>
      <c r="U20">
        <f>COUNTIFS(Absensi!$D18:$ND18,"CS",Absensi!$D$2:$ND$2,U$6)</f>
        <v>0</v>
      </c>
      <c r="V20">
        <f>COUNTIFS(Absensi!$D18:$ND18,"CS",Absensi!$D$2:$ND$2,V$6)</f>
        <v>0</v>
      </c>
      <c r="W20">
        <f>COUNTIFS(Absensi!$D18:$ND18,"CS",Absensi!$D$2:$ND$2,W$6)</f>
        <v>0</v>
      </c>
      <c r="X20">
        <f>COUNTIFS(Absensi!$D18:$ND18,"CS",Absensi!$D$2:$ND$2,X$6)</f>
        <v>0</v>
      </c>
      <c r="Y20">
        <f>COUNTIFS(Absensi!$D18:$ND18,"CS",Absensi!$D$2:$ND$2,Y$6)</f>
        <v>0</v>
      </c>
      <c r="Z20">
        <f>COUNTIFS(Absensi!$D18:$ND18,"CS",Absensi!$D$2:$ND$2,Z$6)</f>
        <v>0</v>
      </c>
      <c r="AA20">
        <f>COUNTIFS(Absensi!$D18:$ND18,"CS",Absensi!$D$2:$ND$2,AA$6)</f>
        <v>0</v>
      </c>
      <c r="AB20">
        <f>COUNTIFS(Absensi!$D18:$ND18,"CS",Absensi!$D$2:$ND$2,AB$6)</f>
        <v>0</v>
      </c>
      <c r="AC20">
        <f t="shared" si="2"/>
        <v>12</v>
      </c>
      <c r="AD20">
        <f t="shared" si="3"/>
        <v>12</v>
      </c>
      <c r="AE20">
        <f t="shared" si="4"/>
        <v>9</v>
      </c>
      <c r="AF20">
        <f t="shared" si="5"/>
        <v>9</v>
      </c>
      <c r="AG20">
        <f t="shared" si="6"/>
        <v>9</v>
      </c>
      <c r="AH20">
        <f t="shared" si="7"/>
        <v>9</v>
      </c>
      <c r="AI20">
        <f t="shared" si="8"/>
        <v>9</v>
      </c>
      <c r="AJ20">
        <f t="shared" si="9"/>
        <v>9</v>
      </c>
      <c r="AK20">
        <f t="shared" si="10"/>
        <v>9</v>
      </c>
      <c r="AL20">
        <f t="shared" si="11"/>
        <v>9</v>
      </c>
      <c r="AM20">
        <f t="shared" si="12"/>
        <v>9</v>
      </c>
      <c r="AN20">
        <f t="shared" si="13"/>
        <v>9</v>
      </c>
    </row>
    <row r="21" spans="1:40" x14ac:dyDescent="0.25">
      <c r="A21" s="26">
        <v>15</v>
      </c>
      <c r="B21" s="27" t="str">
        <f>Absensi!B19</f>
        <v>Gudang A</v>
      </c>
      <c r="C21" s="27" t="str">
        <f>Rekap!C21</f>
        <v>Rizal Tajali Akbar</v>
      </c>
      <c r="D21" s="46" t="str">
        <f t="shared" si="1"/>
        <v>Gudang ARizal Tajali Akbar</v>
      </c>
      <c r="E21">
        <f>COUNTIFS(Absensi!$D19:$ND19,"C",Absensi!$D$2:$ND$2,E$6)</f>
        <v>4</v>
      </c>
      <c r="F21">
        <f>COUNTIFS(Absensi!$D19:$ND19,"C",Absensi!$D$2:$ND$2,F$6)</f>
        <v>0</v>
      </c>
      <c r="G21">
        <f>COUNTIFS(Absensi!$D19:$ND19,"C",Absensi!$D$2:$ND$2,G$6)</f>
        <v>4</v>
      </c>
      <c r="H21">
        <f>COUNTIFS(Absensi!$D19:$ND19,"C",Absensi!$D$2:$ND$2,H$6)</f>
        <v>1</v>
      </c>
      <c r="I21">
        <f>COUNTIFS(Absensi!$D19:$ND19,"C",Absensi!$D$2:$ND$2,I$6)</f>
        <v>1</v>
      </c>
      <c r="J21">
        <f>COUNTIFS(Absensi!$D19:$ND19,"C",Absensi!$D$2:$ND$2,J$6)</f>
        <v>3</v>
      </c>
      <c r="K21">
        <f>COUNTIFS(Absensi!$D19:$ND19,"C",Absensi!$D$2:$ND$2,K$6)</f>
        <v>0</v>
      </c>
      <c r="L21">
        <f>COUNTIFS(Absensi!$D19:$ND19,"C",Absensi!$D$2:$ND$2,L$6)</f>
        <v>0</v>
      </c>
      <c r="M21">
        <f>COUNTIFS(Absensi!$D19:$ND19,"C",Absensi!$D$2:$ND$2,M$6)</f>
        <v>0</v>
      </c>
      <c r="N21">
        <f>COUNTIFS(Absensi!$D19:$ND19,"C",Absensi!$D$2:$ND$2,N$6)</f>
        <v>0</v>
      </c>
      <c r="O21">
        <f>COUNTIFS(Absensi!$D19:$ND19,"C",Absensi!$D$2:$ND$2,O$6)</f>
        <v>0</v>
      </c>
      <c r="P21">
        <f>COUNTIFS(Absensi!$D19:$ND19,"C",Absensi!$D$2:$ND$2,P$6)</f>
        <v>0</v>
      </c>
      <c r="Q21">
        <f>COUNTIFS(Absensi!$D19:$ND19,"CS",Absensi!$D$2:$ND$2,Q$6)</f>
        <v>0</v>
      </c>
      <c r="R21">
        <f>COUNTIFS(Absensi!$D19:$ND19,"CS",Absensi!$D$2:$ND$2,R$6)</f>
        <v>0</v>
      </c>
      <c r="S21">
        <f>COUNTIFS(Absensi!$D19:$ND19,"CS",Absensi!$D$2:$ND$2,S$6)</f>
        <v>0</v>
      </c>
      <c r="T21">
        <f>COUNTIFS(Absensi!$D19:$ND19,"CS",Absensi!$D$2:$ND$2,T$6)</f>
        <v>0</v>
      </c>
      <c r="U21">
        <f>COUNTIFS(Absensi!$D19:$ND19,"CS",Absensi!$D$2:$ND$2,U$6)</f>
        <v>0</v>
      </c>
      <c r="V21">
        <f>COUNTIFS(Absensi!$D19:$ND19,"CS",Absensi!$D$2:$ND$2,V$6)</f>
        <v>0</v>
      </c>
      <c r="W21">
        <f>COUNTIFS(Absensi!$D19:$ND19,"CS",Absensi!$D$2:$ND$2,W$6)</f>
        <v>0</v>
      </c>
      <c r="X21">
        <f>COUNTIFS(Absensi!$D19:$ND19,"CS",Absensi!$D$2:$ND$2,X$6)</f>
        <v>0</v>
      </c>
      <c r="Y21">
        <f>COUNTIFS(Absensi!$D19:$ND19,"CS",Absensi!$D$2:$ND$2,Y$6)</f>
        <v>0</v>
      </c>
      <c r="Z21">
        <f>COUNTIFS(Absensi!$D19:$ND19,"CS",Absensi!$D$2:$ND$2,Z$6)</f>
        <v>0</v>
      </c>
      <c r="AA21">
        <f>COUNTIFS(Absensi!$D19:$ND19,"CS",Absensi!$D$2:$ND$2,AA$6)</f>
        <v>0</v>
      </c>
      <c r="AB21">
        <f>COUNTIFS(Absensi!$D19:$ND19,"CS",Absensi!$D$2:$ND$2,AB$6)</f>
        <v>0</v>
      </c>
      <c r="AC21">
        <f t="shared" si="2"/>
        <v>8</v>
      </c>
      <c r="AD21">
        <f t="shared" si="3"/>
        <v>8</v>
      </c>
      <c r="AE21">
        <f t="shared" si="4"/>
        <v>4</v>
      </c>
      <c r="AF21">
        <f t="shared" si="5"/>
        <v>3</v>
      </c>
      <c r="AG21">
        <f t="shared" si="6"/>
        <v>2</v>
      </c>
      <c r="AH21">
        <f t="shared" si="7"/>
        <v>-1</v>
      </c>
      <c r="AI21">
        <f t="shared" si="8"/>
        <v>-1</v>
      </c>
      <c r="AJ21">
        <f t="shared" si="9"/>
        <v>-1</v>
      </c>
      <c r="AK21">
        <f t="shared" si="10"/>
        <v>-1</v>
      </c>
      <c r="AL21">
        <f t="shared" si="11"/>
        <v>-1</v>
      </c>
      <c r="AM21">
        <f t="shared" si="12"/>
        <v>-1</v>
      </c>
      <c r="AN21">
        <f t="shared" si="13"/>
        <v>-1</v>
      </c>
    </row>
    <row r="22" spans="1:40" x14ac:dyDescent="0.25">
      <c r="A22" s="26">
        <v>16</v>
      </c>
      <c r="B22" s="27" t="str">
        <f>Absensi!B20</f>
        <v>Gudang A</v>
      </c>
      <c r="C22" s="27" t="str">
        <f>Rekap!C22</f>
        <v>Amrullah</v>
      </c>
      <c r="D22" s="46" t="str">
        <f t="shared" si="1"/>
        <v>Gudang AAmrullah</v>
      </c>
      <c r="E22">
        <f>COUNTIFS(Absensi!$D20:$ND20,"C",Absensi!$D$2:$ND$2,E$6)</f>
        <v>0</v>
      </c>
      <c r="F22">
        <f>COUNTIFS(Absensi!$D20:$ND20,"C",Absensi!$D$2:$ND$2,F$6)</f>
        <v>0</v>
      </c>
      <c r="G22">
        <f>COUNTIFS(Absensi!$D20:$ND20,"C",Absensi!$D$2:$ND$2,G$6)</f>
        <v>3</v>
      </c>
      <c r="H22">
        <f>COUNTIFS(Absensi!$D20:$ND20,"C",Absensi!$D$2:$ND$2,H$6)</f>
        <v>0</v>
      </c>
      <c r="I22">
        <f>COUNTIFS(Absensi!$D20:$ND20,"C",Absensi!$D$2:$ND$2,I$6)</f>
        <v>0</v>
      </c>
      <c r="J22">
        <f>COUNTIFS(Absensi!$D20:$ND20,"C",Absensi!$D$2:$ND$2,J$6)</f>
        <v>0</v>
      </c>
      <c r="K22">
        <f>COUNTIFS(Absensi!$D20:$ND20,"C",Absensi!$D$2:$ND$2,K$6)</f>
        <v>0</v>
      </c>
      <c r="L22">
        <f>COUNTIFS(Absensi!$D20:$ND20,"C",Absensi!$D$2:$ND$2,L$6)</f>
        <v>0</v>
      </c>
      <c r="M22">
        <f>COUNTIFS(Absensi!$D20:$ND20,"C",Absensi!$D$2:$ND$2,M$6)</f>
        <v>0</v>
      </c>
      <c r="N22">
        <f>COUNTIFS(Absensi!$D20:$ND20,"C",Absensi!$D$2:$ND$2,N$6)</f>
        <v>0</v>
      </c>
      <c r="O22">
        <f>COUNTIFS(Absensi!$D20:$ND20,"C",Absensi!$D$2:$ND$2,O$6)</f>
        <v>0</v>
      </c>
      <c r="P22">
        <f>COUNTIFS(Absensi!$D20:$ND20,"C",Absensi!$D$2:$ND$2,P$6)</f>
        <v>0</v>
      </c>
      <c r="Q22">
        <f>COUNTIFS(Absensi!$D20:$ND20,"CS",Absensi!$D$2:$ND$2,Q$6)</f>
        <v>0</v>
      </c>
      <c r="R22">
        <f>COUNTIFS(Absensi!$D20:$ND20,"CS",Absensi!$D$2:$ND$2,R$6)</f>
        <v>0</v>
      </c>
      <c r="S22">
        <f>COUNTIFS(Absensi!$D20:$ND20,"CS",Absensi!$D$2:$ND$2,S$6)</f>
        <v>0</v>
      </c>
      <c r="T22">
        <f>COUNTIFS(Absensi!$D20:$ND20,"CS",Absensi!$D$2:$ND$2,T$6)</f>
        <v>0</v>
      </c>
      <c r="U22">
        <f>COUNTIFS(Absensi!$D20:$ND20,"CS",Absensi!$D$2:$ND$2,U$6)</f>
        <v>0</v>
      </c>
      <c r="V22">
        <f>COUNTIFS(Absensi!$D20:$ND20,"CS",Absensi!$D$2:$ND$2,V$6)</f>
        <v>0</v>
      </c>
      <c r="W22">
        <f>COUNTIFS(Absensi!$D20:$ND20,"CS",Absensi!$D$2:$ND$2,W$6)</f>
        <v>0</v>
      </c>
      <c r="X22">
        <f>COUNTIFS(Absensi!$D20:$ND20,"CS",Absensi!$D$2:$ND$2,X$6)</f>
        <v>0</v>
      </c>
      <c r="Y22">
        <f>COUNTIFS(Absensi!$D20:$ND20,"CS",Absensi!$D$2:$ND$2,Y$6)</f>
        <v>0</v>
      </c>
      <c r="Z22">
        <f>COUNTIFS(Absensi!$D20:$ND20,"CS",Absensi!$D$2:$ND$2,Z$6)</f>
        <v>0</v>
      </c>
      <c r="AA22">
        <f>COUNTIFS(Absensi!$D20:$ND20,"CS",Absensi!$D$2:$ND$2,AA$6)</f>
        <v>0</v>
      </c>
      <c r="AB22">
        <f>COUNTIFS(Absensi!$D20:$ND20,"CS",Absensi!$D$2:$ND$2,AB$6)</f>
        <v>0</v>
      </c>
      <c r="AC22">
        <f t="shared" si="2"/>
        <v>12</v>
      </c>
      <c r="AD22">
        <f t="shared" si="3"/>
        <v>12</v>
      </c>
      <c r="AE22">
        <f t="shared" si="4"/>
        <v>9</v>
      </c>
      <c r="AF22">
        <f t="shared" si="5"/>
        <v>9</v>
      </c>
      <c r="AG22">
        <f t="shared" si="6"/>
        <v>9</v>
      </c>
      <c r="AH22">
        <f t="shared" si="7"/>
        <v>9</v>
      </c>
      <c r="AI22">
        <f t="shared" si="8"/>
        <v>9</v>
      </c>
      <c r="AJ22">
        <f t="shared" si="9"/>
        <v>9</v>
      </c>
      <c r="AK22">
        <f t="shared" si="10"/>
        <v>9</v>
      </c>
      <c r="AL22">
        <f t="shared" si="11"/>
        <v>9</v>
      </c>
      <c r="AM22">
        <f t="shared" si="12"/>
        <v>9</v>
      </c>
      <c r="AN22">
        <f t="shared" si="13"/>
        <v>9</v>
      </c>
    </row>
    <row r="23" spans="1:40" x14ac:dyDescent="0.25">
      <c r="A23" s="26">
        <v>17</v>
      </c>
      <c r="B23" s="27" t="str">
        <f>Absensi!B21</f>
        <v>Gudang A</v>
      </c>
      <c r="C23" s="27" t="str">
        <f>Rekap!C23</f>
        <v>Dede Komarudin</v>
      </c>
      <c r="D23" s="46" t="str">
        <f t="shared" si="1"/>
        <v>Gudang ADede Komarudin</v>
      </c>
      <c r="E23">
        <f>COUNTIFS(Absensi!$D21:$ND21,"C",Absensi!$D$2:$ND$2,E$6)</f>
        <v>1</v>
      </c>
      <c r="F23">
        <f>COUNTIFS(Absensi!$D21:$ND21,"C",Absensi!$D$2:$ND$2,F$6)</f>
        <v>1</v>
      </c>
      <c r="G23">
        <f>COUNTIFS(Absensi!$D21:$ND21,"C",Absensi!$D$2:$ND$2,G$6)</f>
        <v>4</v>
      </c>
      <c r="H23">
        <f>COUNTIFS(Absensi!$D21:$ND21,"C",Absensi!$D$2:$ND$2,H$6)</f>
        <v>0</v>
      </c>
      <c r="I23">
        <f>COUNTIFS(Absensi!$D21:$ND21,"C",Absensi!$D$2:$ND$2,I$6)</f>
        <v>0</v>
      </c>
      <c r="J23">
        <f>COUNTIFS(Absensi!$D21:$ND21,"C",Absensi!$D$2:$ND$2,J$6)</f>
        <v>1</v>
      </c>
      <c r="K23">
        <f>COUNTIFS(Absensi!$D21:$ND21,"C",Absensi!$D$2:$ND$2,K$6)</f>
        <v>0</v>
      </c>
      <c r="L23">
        <f>COUNTIFS(Absensi!$D21:$ND21,"C",Absensi!$D$2:$ND$2,L$6)</f>
        <v>1</v>
      </c>
      <c r="M23">
        <f>COUNTIFS(Absensi!$D21:$ND21,"C",Absensi!$D$2:$ND$2,M$6)</f>
        <v>0</v>
      </c>
      <c r="N23">
        <f>COUNTIFS(Absensi!$D21:$ND21,"C",Absensi!$D$2:$ND$2,N$6)</f>
        <v>0</v>
      </c>
      <c r="O23">
        <f>COUNTIFS(Absensi!$D21:$ND21,"C",Absensi!$D$2:$ND$2,O$6)</f>
        <v>0</v>
      </c>
      <c r="P23">
        <f>COUNTIFS(Absensi!$D21:$ND21,"C",Absensi!$D$2:$ND$2,P$6)</f>
        <v>0</v>
      </c>
      <c r="Q23">
        <f>COUNTIFS(Absensi!$D21:$ND21,"CS",Absensi!$D$2:$ND$2,Q$6)</f>
        <v>0</v>
      </c>
      <c r="R23">
        <f>COUNTIFS(Absensi!$D21:$ND21,"CS",Absensi!$D$2:$ND$2,R$6)</f>
        <v>0</v>
      </c>
      <c r="S23">
        <f>COUNTIFS(Absensi!$D21:$ND21,"CS",Absensi!$D$2:$ND$2,S$6)</f>
        <v>0</v>
      </c>
      <c r="T23">
        <f>COUNTIFS(Absensi!$D21:$ND21,"CS",Absensi!$D$2:$ND$2,T$6)</f>
        <v>0</v>
      </c>
      <c r="U23">
        <f>COUNTIFS(Absensi!$D21:$ND21,"CS",Absensi!$D$2:$ND$2,U$6)</f>
        <v>0</v>
      </c>
      <c r="V23">
        <f>COUNTIFS(Absensi!$D21:$ND21,"CS",Absensi!$D$2:$ND$2,V$6)</f>
        <v>1</v>
      </c>
      <c r="W23">
        <f>COUNTIFS(Absensi!$D21:$ND21,"CS",Absensi!$D$2:$ND$2,W$6)</f>
        <v>0</v>
      </c>
      <c r="X23">
        <f>COUNTIFS(Absensi!$D21:$ND21,"CS",Absensi!$D$2:$ND$2,X$6)</f>
        <v>0</v>
      </c>
      <c r="Y23">
        <f>COUNTIFS(Absensi!$D21:$ND21,"CS",Absensi!$D$2:$ND$2,Y$6)</f>
        <v>0</v>
      </c>
      <c r="Z23">
        <f>COUNTIFS(Absensi!$D21:$ND21,"CS",Absensi!$D$2:$ND$2,Z$6)</f>
        <v>0</v>
      </c>
      <c r="AA23">
        <f>COUNTIFS(Absensi!$D21:$ND21,"CS",Absensi!$D$2:$ND$2,AA$6)</f>
        <v>0</v>
      </c>
      <c r="AB23">
        <f>COUNTIFS(Absensi!$D21:$ND21,"CS",Absensi!$D$2:$ND$2,AB$6)</f>
        <v>0</v>
      </c>
      <c r="AC23">
        <f t="shared" si="2"/>
        <v>11</v>
      </c>
      <c r="AD23">
        <f t="shared" si="3"/>
        <v>10</v>
      </c>
      <c r="AE23">
        <f t="shared" si="4"/>
        <v>6</v>
      </c>
      <c r="AF23">
        <f t="shared" si="5"/>
        <v>6</v>
      </c>
      <c r="AG23">
        <f t="shared" si="6"/>
        <v>6</v>
      </c>
      <c r="AH23">
        <f t="shared" si="7"/>
        <v>4.5</v>
      </c>
      <c r="AI23">
        <f t="shared" si="8"/>
        <v>4.5</v>
      </c>
      <c r="AJ23">
        <f t="shared" si="9"/>
        <v>3.5</v>
      </c>
      <c r="AK23">
        <f t="shared" si="10"/>
        <v>3.5</v>
      </c>
      <c r="AL23">
        <f t="shared" si="11"/>
        <v>3.5</v>
      </c>
      <c r="AM23">
        <f t="shared" si="12"/>
        <v>3.5</v>
      </c>
      <c r="AN23">
        <f t="shared" si="13"/>
        <v>3.5</v>
      </c>
    </row>
    <row r="24" spans="1:40" x14ac:dyDescent="0.25">
      <c r="A24" s="26">
        <v>18</v>
      </c>
      <c r="B24" s="27" t="str">
        <f>Absensi!B22</f>
        <v>Gudang A</v>
      </c>
      <c r="C24" s="27" t="str">
        <f>Rekap!C24</f>
        <v>Isti Rofah</v>
      </c>
      <c r="D24" s="46" t="str">
        <f t="shared" si="1"/>
        <v>Gudang AIsti Rofah</v>
      </c>
      <c r="E24">
        <f>COUNTIFS(Absensi!$D22:$ND22,"C",Absensi!$D$2:$ND$2,E$6)</f>
        <v>0</v>
      </c>
      <c r="F24">
        <f>COUNTIFS(Absensi!$D22:$ND22,"C",Absensi!$D$2:$ND$2,F$6)</f>
        <v>0</v>
      </c>
      <c r="G24">
        <f>COUNTIFS(Absensi!$D22:$ND22,"C",Absensi!$D$2:$ND$2,G$6)</f>
        <v>2</v>
      </c>
      <c r="H24">
        <f>COUNTIFS(Absensi!$D22:$ND22,"C",Absensi!$D$2:$ND$2,H$6)</f>
        <v>0</v>
      </c>
      <c r="I24">
        <f>COUNTIFS(Absensi!$D22:$ND22,"C",Absensi!$D$2:$ND$2,I$6)</f>
        <v>0</v>
      </c>
      <c r="J24">
        <f>COUNTIFS(Absensi!$D22:$ND22,"C",Absensi!$D$2:$ND$2,J$6)</f>
        <v>1</v>
      </c>
      <c r="K24">
        <f>COUNTIFS(Absensi!$D22:$ND22,"C",Absensi!$D$2:$ND$2,K$6)</f>
        <v>3</v>
      </c>
      <c r="L24">
        <f>COUNTIFS(Absensi!$D22:$ND22,"C",Absensi!$D$2:$ND$2,L$6)</f>
        <v>0</v>
      </c>
      <c r="M24">
        <f>COUNTIFS(Absensi!$D22:$ND22,"C",Absensi!$D$2:$ND$2,M$6)</f>
        <v>0</v>
      </c>
      <c r="N24">
        <f>COUNTIFS(Absensi!$D22:$ND22,"C",Absensi!$D$2:$ND$2,N$6)</f>
        <v>0</v>
      </c>
      <c r="O24">
        <f>COUNTIFS(Absensi!$D22:$ND22,"C",Absensi!$D$2:$ND$2,O$6)</f>
        <v>0</v>
      </c>
      <c r="P24">
        <f>COUNTIFS(Absensi!$D22:$ND22,"C",Absensi!$D$2:$ND$2,P$6)</f>
        <v>0</v>
      </c>
      <c r="Q24">
        <f>COUNTIFS(Absensi!$D22:$ND22,"CS",Absensi!$D$2:$ND$2,Q$6)</f>
        <v>0</v>
      </c>
      <c r="R24">
        <f>COUNTIFS(Absensi!$D22:$ND22,"CS",Absensi!$D$2:$ND$2,R$6)</f>
        <v>0</v>
      </c>
      <c r="S24">
        <f>COUNTIFS(Absensi!$D22:$ND22,"CS",Absensi!$D$2:$ND$2,S$6)</f>
        <v>1</v>
      </c>
      <c r="T24">
        <f>COUNTIFS(Absensi!$D22:$ND22,"CS",Absensi!$D$2:$ND$2,T$6)</f>
        <v>0</v>
      </c>
      <c r="U24">
        <f>COUNTIFS(Absensi!$D22:$ND22,"CS",Absensi!$D$2:$ND$2,U$6)</f>
        <v>1</v>
      </c>
      <c r="V24">
        <f>COUNTIFS(Absensi!$D22:$ND22,"CS",Absensi!$D$2:$ND$2,V$6)</f>
        <v>0</v>
      </c>
      <c r="W24">
        <f>COUNTIFS(Absensi!$D22:$ND22,"CS",Absensi!$D$2:$ND$2,W$6)</f>
        <v>1</v>
      </c>
      <c r="X24">
        <f>COUNTIFS(Absensi!$D22:$ND22,"CS",Absensi!$D$2:$ND$2,X$6)</f>
        <v>0</v>
      </c>
      <c r="Y24">
        <f>COUNTIFS(Absensi!$D22:$ND22,"CS",Absensi!$D$2:$ND$2,Y$6)</f>
        <v>0</v>
      </c>
      <c r="Z24">
        <f>COUNTIFS(Absensi!$D22:$ND22,"CS",Absensi!$D$2:$ND$2,Z$6)</f>
        <v>0</v>
      </c>
      <c r="AA24">
        <f>COUNTIFS(Absensi!$D22:$ND22,"CS",Absensi!$D$2:$ND$2,AA$6)</f>
        <v>0</v>
      </c>
      <c r="AB24">
        <f>COUNTIFS(Absensi!$D22:$ND22,"CS",Absensi!$D$2:$ND$2,AB$6)</f>
        <v>0</v>
      </c>
      <c r="AC24">
        <f t="shared" si="2"/>
        <v>12</v>
      </c>
      <c r="AD24">
        <f t="shared" si="3"/>
        <v>12</v>
      </c>
      <c r="AE24">
        <f t="shared" si="4"/>
        <v>9.5</v>
      </c>
      <c r="AF24">
        <f t="shared" si="5"/>
        <v>9.5</v>
      </c>
      <c r="AG24">
        <f t="shared" si="6"/>
        <v>9</v>
      </c>
      <c r="AH24">
        <f t="shared" si="7"/>
        <v>8</v>
      </c>
      <c r="AI24">
        <f t="shared" si="8"/>
        <v>4.5</v>
      </c>
      <c r="AJ24">
        <f t="shared" si="9"/>
        <v>4.5</v>
      </c>
      <c r="AK24">
        <f t="shared" si="10"/>
        <v>4.5</v>
      </c>
      <c r="AL24">
        <f t="shared" si="11"/>
        <v>4.5</v>
      </c>
      <c r="AM24">
        <f t="shared" si="12"/>
        <v>4.5</v>
      </c>
      <c r="AN24">
        <f t="shared" si="13"/>
        <v>4.5</v>
      </c>
    </row>
    <row r="25" spans="1:40" ht="30" x14ac:dyDescent="0.25">
      <c r="A25" s="26">
        <v>19</v>
      </c>
      <c r="B25" s="27" t="str">
        <f>Absensi!B23</f>
        <v>Gudang A</v>
      </c>
      <c r="C25" s="27" t="str">
        <f>Rekap!C25</f>
        <v>Muhammad Ihsan Iswahyudi</v>
      </c>
      <c r="D25" s="46" t="str">
        <f t="shared" si="1"/>
        <v>Gudang AMuhammad Ihsan Iswahyudi</v>
      </c>
      <c r="E25">
        <f>COUNTIFS(Absensi!$D23:$ND23,"C",Absensi!$D$2:$ND$2,E$6)</f>
        <v>0</v>
      </c>
      <c r="F25">
        <f>COUNTIFS(Absensi!$D23:$ND23,"C",Absensi!$D$2:$ND$2,F$6)</f>
        <v>1</v>
      </c>
      <c r="G25">
        <f>COUNTIFS(Absensi!$D23:$ND23,"C",Absensi!$D$2:$ND$2,G$6)</f>
        <v>4</v>
      </c>
      <c r="H25">
        <f>COUNTIFS(Absensi!$D23:$ND23,"C",Absensi!$D$2:$ND$2,H$6)</f>
        <v>1</v>
      </c>
      <c r="I25">
        <f>COUNTIFS(Absensi!$D23:$ND23,"C",Absensi!$D$2:$ND$2,I$6)</f>
        <v>1</v>
      </c>
      <c r="J25">
        <f>COUNTIFS(Absensi!$D23:$ND23,"C",Absensi!$D$2:$ND$2,J$6)</f>
        <v>2</v>
      </c>
      <c r="K25">
        <f>COUNTIFS(Absensi!$D23:$ND23,"C",Absensi!$D$2:$ND$2,K$6)</f>
        <v>1</v>
      </c>
      <c r="L25">
        <f>COUNTIFS(Absensi!$D23:$ND23,"C",Absensi!$D$2:$ND$2,L$6)</f>
        <v>0</v>
      </c>
      <c r="M25">
        <f>COUNTIFS(Absensi!$D23:$ND23,"C",Absensi!$D$2:$ND$2,M$6)</f>
        <v>0</v>
      </c>
      <c r="N25">
        <f>COUNTIFS(Absensi!$D23:$ND23,"C",Absensi!$D$2:$ND$2,N$6)</f>
        <v>0</v>
      </c>
      <c r="O25">
        <f>COUNTIFS(Absensi!$D23:$ND23,"C",Absensi!$D$2:$ND$2,O$6)</f>
        <v>0</v>
      </c>
      <c r="P25">
        <f>COUNTIFS(Absensi!$D23:$ND23,"C",Absensi!$D$2:$ND$2,P$6)</f>
        <v>0</v>
      </c>
      <c r="Q25">
        <f>COUNTIFS(Absensi!$D23:$ND23,"CS",Absensi!$D$2:$ND$2,Q$6)</f>
        <v>0</v>
      </c>
      <c r="R25">
        <f>COUNTIFS(Absensi!$D23:$ND23,"CS",Absensi!$D$2:$ND$2,R$6)</f>
        <v>0</v>
      </c>
      <c r="S25">
        <f>COUNTIFS(Absensi!$D23:$ND23,"CS",Absensi!$D$2:$ND$2,S$6)</f>
        <v>1</v>
      </c>
      <c r="T25">
        <f>COUNTIFS(Absensi!$D23:$ND23,"CS",Absensi!$D$2:$ND$2,T$6)</f>
        <v>0</v>
      </c>
      <c r="U25">
        <f>COUNTIFS(Absensi!$D23:$ND23,"CS",Absensi!$D$2:$ND$2,U$6)</f>
        <v>1</v>
      </c>
      <c r="V25">
        <f>COUNTIFS(Absensi!$D23:$ND23,"CS",Absensi!$D$2:$ND$2,V$6)</f>
        <v>0</v>
      </c>
      <c r="W25">
        <f>COUNTIFS(Absensi!$D23:$ND23,"CS",Absensi!$D$2:$ND$2,W$6)</f>
        <v>0</v>
      </c>
      <c r="X25">
        <f>COUNTIFS(Absensi!$D23:$ND23,"CS",Absensi!$D$2:$ND$2,X$6)</f>
        <v>0</v>
      </c>
      <c r="Y25">
        <f>COUNTIFS(Absensi!$D23:$ND23,"CS",Absensi!$D$2:$ND$2,Y$6)</f>
        <v>0</v>
      </c>
      <c r="Z25">
        <f>COUNTIFS(Absensi!$D23:$ND23,"CS",Absensi!$D$2:$ND$2,Z$6)</f>
        <v>0</v>
      </c>
      <c r="AA25">
        <f>COUNTIFS(Absensi!$D23:$ND23,"CS",Absensi!$D$2:$ND$2,AA$6)</f>
        <v>0</v>
      </c>
      <c r="AB25">
        <f>COUNTIFS(Absensi!$D23:$ND23,"CS",Absensi!$D$2:$ND$2,AB$6)</f>
        <v>0</v>
      </c>
      <c r="AC25">
        <f t="shared" si="2"/>
        <v>12</v>
      </c>
      <c r="AD25">
        <f t="shared" si="3"/>
        <v>11</v>
      </c>
      <c r="AE25">
        <f t="shared" si="4"/>
        <v>6.5</v>
      </c>
      <c r="AF25">
        <f t="shared" si="5"/>
        <v>5.5</v>
      </c>
      <c r="AG25">
        <f t="shared" si="6"/>
        <v>4</v>
      </c>
      <c r="AH25">
        <f t="shared" si="7"/>
        <v>2</v>
      </c>
      <c r="AI25">
        <f t="shared" si="8"/>
        <v>1</v>
      </c>
      <c r="AJ25">
        <f t="shared" si="9"/>
        <v>1</v>
      </c>
      <c r="AK25">
        <f t="shared" si="10"/>
        <v>1</v>
      </c>
      <c r="AL25">
        <f t="shared" si="11"/>
        <v>1</v>
      </c>
      <c r="AM25">
        <f t="shared" si="12"/>
        <v>1</v>
      </c>
      <c r="AN25">
        <f t="shared" si="13"/>
        <v>1</v>
      </c>
    </row>
    <row r="26" spans="1:40" x14ac:dyDescent="0.25">
      <c r="A26" s="26">
        <v>20</v>
      </c>
      <c r="B26" s="27" t="str">
        <f>Absensi!B24</f>
        <v>Gudang A</v>
      </c>
      <c r="C26" s="27" t="str">
        <f>Rekap!C26</f>
        <v>Iwan Setiawan</v>
      </c>
      <c r="D26" s="46" t="str">
        <f t="shared" si="1"/>
        <v>Gudang AIwan Setiawan</v>
      </c>
      <c r="E26">
        <f>COUNTIFS(Absensi!$D24:$ND24,"C",Absensi!$D$2:$ND$2,E$6)</f>
        <v>1</v>
      </c>
      <c r="F26">
        <f>COUNTIFS(Absensi!$D24:$ND24,"C",Absensi!$D$2:$ND$2,F$6)</f>
        <v>0</v>
      </c>
      <c r="G26">
        <f>COUNTIFS(Absensi!$D24:$ND24,"C",Absensi!$D$2:$ND$2,G$6)</f>
        <v>5</v>
      </c>
      <c r="H26">
        <f>COUNTIFS(Absensi!$D24:$ND24,"C",Absensi!$D$2:$ND$2,H$6)</f>
        <v>1</v>
      </c>
      <c r="I26">
        <f>COUNTIFS(Absensi!$D24:$ND24,"C",Absensi!$D$2:$ND$2,I$6)</f>
        <v>1</v>
      </c>
      <c r="J26">
        <f>COUNTIFS(Absensi!$D24:$ND24,"C",Absensi!$D$2:$ND$2,J$6)</f>
        <v>1</v>
      </c>
      <c r="K26">
        <f>COUNTIFS(Absensi!$D24:$ND24,"C",Absensi!$D$2:$ND$2,K$6)</f>
        <v>0</v>
      </c>
      <c r="L26">
        <f>COUNTIFS(Absensi!$D24:$ND24,"C",Absensi!$D$2:$ND$2,L$6)</f>
        <v>0</v>
      </c>
      <c r="M26">
        <f>COUNTIFS(Absensi!$D24:$ND24,"C",Absensi!$D$2:$ND$2,M$6)</f>
        <v>0</v>
      </c>
      <c r="N26">
        <f>COUNTIFS(Absensi!$D24:$ND24,"C",Absensi!$D$2:$ND$2,N$6)</f>
        <v>0</v>
      </c>
      <c r="O26">
        <f>COUNTIFS(Absensi!$D24:$ND24,"C",Absensi!$D$2:$ND$2,O$6)</f>
        <v>0</v>
      </c>
      <c r="P26">
        <f>COUNTIFS(Absensi!$D24:$ND24,"C",Absensi!$D$2:$ND$2,P$6)</f>
        <v>0</v>
      </c>
      <c r="Q26">
        <f>COUNTIFS(Absensi!$D24:$ND24,"CS",Absensi!$D$2:$ND$2,Q$6)</f>
        <v>0</v>
      </c>
      <c r="R26">
        <f>COUNTIFS(Absensi!$D24:$ND24,"CS",Absensi!$D$2:$ND$2,R$6)</f>
        <v>0</v>
      </c>
      <c r="S26">
        <f>COUNTIFS(Absensi!$D24:$ND24,"CS",Absensi!$D$2:$ND$2,S$6)</f>
        <v>1</v>
      </c>
      <c r="T26">
        <f>COUNTIFS(Absensi!$D24:$ND24,"CS",Absensi!$D$2:$ND$2,T$6)</f>
        <v>0</v>
      </c>
      <c r="U26">
        <f>COUNTIFS(Absensi!$D24:$ND24,"CS",Absensi!$D$2:$ND$2,U$6)</f>
        <v>0</v>
      </c>
      <c r="V26">
        <f>COUNTIFS(Absensi!$D24:$ND24,"CS",Absensi!$D$2:$ND$2,V$6)</f>
        <v>0</v>
      </c>
      <c r="W26">
        <f>COUNTIFS(Absensi!$D24:$ND24,"CS",Absensi!$D$2:$ND$2,W$6)</f>
        <v>0</v>
      </c>
      <c r="X26">
        <f>COUNTIFS(Absensi!$D24:$ND24,"CS",Absensi!$D$2:$ND$2,X$6)</f>
        <v>1</v>
      </c>
      <c r="Y26">
        <f>COUNTIFS(Absensi!$D24:$ND24,"CS",Absensi!$D$2:$ND$2,Y$6)</f>
        <v>0</v>
      </c>
      <c r="Z26">
        <f>COUNTIFS(Absensi!$D24:$ND24,"CS",Absensi!$D$2:$ND$2,Z$6)</f>
        <v>0</v>
      </c>
      <c r="AA26">
        <f>COUNTIFS(Absensi!$D24:$ND24,"CS",Absensi!$D$2:$ND$2,AA$6)</f>
        <v>0</v>
      </c>
      <c r="AB26">
        <f>COUNTIFS(Absensi!$D24:$ND24,"CS",Absensi!$D$2:$ND$2,AB$6)</f>
        <v>0</v>
      </c>
      <c r="AC26">
        <f t="shared" si="2"/>
        <v>11</v>
      </c>
      <c r="AD26">
        <f t="shared" si="3"/>
        <v>11</v>
      </c>
      <c r="AE26">
        <f t="shared" si="4"/>
        <v>5.5</v>
      </c>
      <c r="AF26">
        <f t="shared" si="5"/>
        <v>4.5</v>
      </c>
      <c r="AG26">
        <f t="shared" si="6"/>
        <v>3.5</v>
      </c>
      <c r="AH26">
        <f t="shared" si="7"/>
        <v>2.5</v>
      </c>
      <c r="AI26">
        <f t="shared" si="8"/>
        <v>2.5</v>
      </c>
      <c r="AJ26">
        <f t="shared" si="9"/>
        <v>2</v>
      </c>
      <c r="AK26">
        <f t="shared" si="10"/>
        <v>2</v>
      </c>
      <c r="AL26">
        <f t="shared" si="11"/>
        <v>2</v>
      </c>
      <c r="AM26">
        <f t="shared" si="12"/>
        <v>2</v>
      </c>
      <c r="AN26">
        <f t="shared" si="13"/>
        <v>2</v>
      </c>
    </row>
    <row r="27" spans="1:40" x14ac:dyDescent="0.25">
      <c r="A27" s="26">
        <v>21</v>
      </c>
      <c r="B27" s="27" t="str">
        <f>Absensi!B25</f>
        <v>Gudang A</v>
      </c>
      <c r="C27" s="27" t="str">
        <f>Rekap!C27</f>
        <v>Noval Azhar</v>
      </c>
      <c r="D27" s="46" t="str">
        <f t="shared" si="1"/>
        <v>Gudang ANoval Azhar</v>
      </c>
      <c r="E27">
        <f>COUNTIFS(Absensi!$D25:$ND25,"C",Absensi!$D$2:$ND$2,E$6)</f>
        <v>0</v>
      </c>
      <c r="F27">
        <f>COUNTIFS(Absensi!$D25:$ND25,"C",Absensi!$D$2:$ND$2,F$6)</f>
        <v>0</v>
      </c>
      <c r="G27">
        <f>COUNTIFS(Absensi!$D25:$ND25,"C",Absensi!$D$2:$ND$2,G$6)</f>
        <v>3</v>
      </c>
      <c r="H27">
        <f>COUNTIFS(Absensi!$D25:$ND25,"C",Absensi!$D$2:$ND$2,H$6)</f>
        <v>0</v>
      </c>
      <c r="I27">
        <f>COUNTIFS(Absensi!$D25:$ND25,"C",Absensi!$D$2:$ND$2,I$6)</f>
        <v>0</v>
      </c>
      <c r="J27">
        <f>COUNTIFS(Absensi!$D25:$ND25,"C",Absensi!$D$2:$ND$2,J$6)</f>
        <v>0</v>
      </c>
      <c r="K27">
        <f>COUNTIFS(Absensi!$D25:$ND25,"C",Absensi!$D$2:$ND$2,K$6)</f>
        <v>1</v>
      </c>
      <c r="L27">
        <f>COUNTIFS(Absensi!$D25:$ND25,"C",Absensi!$D$2:$ND$2,L$6)</f>
        <v>0</v>
      </c>
      <c r="M27">
        <f>COUNTIFS(Absensi!$D25:$ND25,"C",Absensi!$D$2:$ND$2,M$6)</f>
        <v>0</v>
      </c>
      <c r="N27">
        <f>COUNTIFS(Absensi!$D25:$ND25,"C",Absensi!$D$2:$ND$2,N$6)</f>
        <v>0</v>
      </c>
      <c r="O27">
        <f>COUNTIFS(Absensi!$D25:$ND25,"C",Absensi!$D$2:$ND$2,O$6)</f>
        <v>0</v>
      </c>
      <c r="P27">
        <f>COUNTIFS(Absensi!$D25:$ND25,"C",Absensi!$D$2:$ND$2,P$6)</f>
        <v>0</v>
      </c>
      <c r="Q27">
        <f>COUNTIFS(Absensi!$D25:$ND25,"CS",Absensi!$D$2:$ND$2,Q$6)</f>
        <v>0</v>
      </c>
      <c r="R27">
        <f>COUNTIFS(Absensi!$D25:$ND25,"CS",Absensi!$D$2:$ND$2,R$6)</f>
        <v>0</v>
      </c>
      <c r="S27">
        <f>COUNTIFS(Absensi!$D25:$ND25,"CS",Absensi!$D$2:$ND$2,S$6)</f>
        <v>0</v>
      </c>
      <c r="T27">
        <f>COUNTIFS(Absensi!$D25:$ND25,"CS",Absensi!$D$2:$ND$2,T$6)</f>
        <v>0</v>
      </c>
      <c r="U27">
        <f>COUNTIFS(Absensi!$D25:$ND25,"CS",Absensi!$D$2:$ND$2,U$6)</f>
        <v>0</v>
      </c>
      <c r="V27">
        <f>COUNTIFS(Absensi!$D25:$ND25,"CS",Absensi!$D$2:$ND$2,V$6)</f>
        <v>0</v>
      </c>
      <c r="W27">
        <f>COUNTIFS(Absensi!$D25:$ND25,"CS",Absensi!$D$2:$ND$2,W$6)</f>
        <v>0</v>
      </c>
      <c r="X27">
        <f>COUNTIFS(Absensi!$D25:$ND25,"CS",Absensi!$D$2:$ND$2,X$6)</f>
        <v>0</v>
      </c>
      <c r="Y27">
        <f>COUNTIFS(Absensi!$D25:$ND25,"CS",Absensi!$D$2:$ND$2,Y$6)</f>
        <v>0</v>
      </c>
      <c r="Z27">
        <f>COUNTIFS(Absensi!$D25:$ND25,"CS",Absensi!$D$2:$ND$2,Z$6)</f>
        <v>0</v>
      </c>
      <c r="AA27">
        <f>COUNTIFS(Absensi!$D25:$ND25,"CS",Absensi!$D$2:$ND$2,AA$6)</f>
        <v>0</v>
      </c>
      <c r="AB27">
        <f>COUNTIFS(Absensi!$D25:$ND25,"CS",Absensi!$D$2:$ND$2,AB$6)</f>
        <v>0</v>
      </c>
      <c r="AC27">
        <f t="shared" si="2"/>
        <v>12</v>
      </c>
      <c r="AD27">
        <f t="shared" si="3"/>
        <v>12</v>
      </c>
      <c r="AE27">
        <f t="shared" si="4"/>
        <v>9</v>
      </c>
      <c r="AF27">
        <f t="shared" si="5"/>
        <v>9</v>
      </c>
      <c r="AG27">
        <f t="shared" si="6"/>
        <v>9</v>
      </c>
      <c r="AH27">
        <f t="shared" si="7"/>
        <v>9</v>
      </c>
      <c r="AI27">
        <f t="shared" si="8"/>
        <v>8</v>
      </c>
      <c r="AJ27">
        <f t="shared" si="9"/>
        <v>8</v>
      </c>
      <c r="AK27">
        <f t="shared" si="10"/>
        <v>8</v>
      </c>
      <c r="AL27">
        <f t="shared" si="11"/>
        <v>8</v>
      </c>
      <c r="AM27">
        <f t="shared" si="12"/>
        <v>8</v>
      </c>
      <c r="AN27">
        <f t="shared" si="13"/>
        <v>8</v>
      </c>
    </row>
    <row r="28" spans="1:40" x14ac:dyDescent="0.25">
      <c r="A28" s="26">
        <v>22</v>
      </c>
      <c r="B28" s="27" t="str">
        <f>Absensi!B26</f>
        <v>Gudang A</v>
      </c>
      <c r="C28" s="27" t="str">
        <f>Rekap!C28</f>
        <v>Putri Maulida</v>
      </c>
      <c r="D28" s="46" t="str">
        <f t="shared" si="1"/>
        <v>Gudang APutri Maulida</v>
      </c>
      <c r="E28">
        <f>COUNTIFS(Absensi!$D26:$ND26,"C",Absensi!$D$2:$ND$2,E$6)</f>
        <v>0</v>
      </c>
      <c r="F28">
        <f>COUNTIFS(Absensi!$D26:$ND26,"C",Absensi!$D$2:$ND$2,F$6)</f>
        <v>0</v>
      </c>
      <c r="G28">
        <f>COUNTIFS(Absensi!$D26:$ND26,"C",Absensi!$D$2:$ND$2,G$6)</f>
        <v>4</v>
      </c>
      <c r="H28">
        <f>COUNTIFS(Absensi!$D26:$ND26,"C",Absensi!$D$2:$ND$2,H$6)</f>
        <v>0</v>
      </c>
      <c r="I28">
        <f>COUNTIFS(Absensi!$D26:$ND26,"C",Absensi!$D$2:$ND$2,I$6)</f>
        <v>0</v>
      </c>
      <c r="J28">
        <f>COUNTIFS(Absensi!$D26:$ND26,"C",Absensi!$D$2:$ND$2,J$6)</f>
        <v>0</v>
      </c>
      <c r="K28">
        <f>COUNTIFS(Absensi!$D26:$ND26,"C",Absensi!$D$2:$ND$2,K$6)</f>
        <v>0</v>
      </c>
      <c r="L28">
        <f>COUNTIFS(Absensi!$D26:$ND26,"C",Absensi!$D$2:$ND$2,L$6)</f>
        <v>1</v>
      </c>
      <c r="M28">
        <f>COUNTIFS(Absensi!$D26:$ND26,"C",Absensi!$D$2:$ND$2,M$6)</f>
        <v>1</v>
      </c>
      <c r="N28">
        <f>COUNTIFS(Absensi!$D26:$ND26,"C",Absensi!$D$2:$ND$2,N$6)</f>
        <v>0</v>
      </c>
      <c r="O28">
        <f>COUNTIFS(Absensi!$D26:$ND26,"C",Absensi!$D$2:$ND$2,O$6)</f>
        <v>0</v>
      </c>
      <c r="P28">
        <f>COUNTIFS(Absensi!$D26:$ND26,"C",Absensi!$D$2:$ND$2,P$6)</f>
        <v>0</v>
      </c>
      <c r="Q28">
        <f>COUNTIFS(Absensi!$D26:$ND26,"CS",Absensi!$D$2:$ND$2,Q$6)</f>
        <v>0</v>
      </c>
      <c r="R28">
        <f>COUNTIFS(Absensi!$D26:$ND26,"CS",Absensi!$D$2:$ND$2,R$6)</f>
        <v>0</v>
      </c>
      <c r="S28">
        <f>COUNTIFS(Absensi!$D26:$ND26,"CS",Absensi!$D$2:$ND$2,S$6)</f>
        <v>0</v>
      </c>
      <c r="T28">
        <f>COUNTIFS(Absensi!$D26:$ND26,"CS",Absensi!$D$2:$ND$2,T$6)</f>
        <v>0</v>
      </c>
      <c r="U28">
        <f>COUNTIFS(Absensi!$D26:$ND26,"CS",Absensi!$D$2:$ND$2,U$6)</f>
        <v>1</v>
      </c>
      <c r="V28">
        <f>COUNTIFS(Absensi!$D26:$ND26,"CS",Absensi!$D$2:$ND$2,V$6)</f>
        <v>0</v>
      </c>
      <c r="W28">
        <f>COUNTIFS(Absensi!$D26:$ND26,"CS",Absensi!$D$2:$ND$2,W$6)</f>
        <v>1</v>
      </c>
      <c r="X28">
        <f>COUNTIFS(Absensi!$D26:$ND26,"CS",Absensi!$D$2:$ND$2,X$6)</f>
        <v>1</v>
      </c>
      <c r="Y28">
        <f>COUNTIFS(Absensi!$D26:$ND26,"CS",Absensi!$D$2:$ND$2,Y$6)</f>
        <v>1</v>
      </c>
      <c r="Z28">
        <f>COUNTIFS(Absensi!$D26:$ND26,"CS",Absensi!$D$2:$ND$2,Z$6)</f>
        <v>0</v>
      </c>
      <c r="AA28">
        <f>COUNTIFS(Absensi!$D26:$ND26,"CS",Absensi!$D$2:$ND$2,AA$6)</f>
        <v>0</v>
      </c>
      <c r="AB28">
        <f>COUNTIFS(Absensi!$D26:$ND26,"CS",Absensi!$D$2:$ND$2,AB$6)</f>
        <v>0</v>
      </c>
      <c r="AC28">
        <f t="shared" si="2"/>
        <v>12</v>
      </c>
      <c r="AD28">
        <f t="shared" si="3"/>
        <v>12</v>
      </c>
      <c r="AE28">
        <f t="shared" si="4"/>
        <v>8</v>
      </c>
      <c r="AF28">
        <f t="shared" si="5"/>
        <v>8</v>
      </c>
      <c r="AG28">
        <f t="shared" si="6"/>
        <v>7.5</v>
      </c>
      <c r="AH28">
        <f t="shared" si="7"/>
        <v>7.5</v>
      </c>
      <c r="AI28">
        <f t="shared" si="8"/>
        <v>7</v>
      </c>
      <c r="AJ28">
        <f t="shared" si="9"/>
        <v>5.5</v>
      </c>
      <c r="AK28">
        <f t="shared" si="10"/>
        <v>4</v>
      </c>
      <c r="AL28">
        <f t="shared" si="11"/>
        <v>4</v>
      </c>
      <c r="AM28">
        <f t="shared" si="12"/>
        <v>4</v>
      </c>
      <c r="AN28">
        <f t="shared" si="13"/>
        <v>4</v>
      </c>
    </row>
    <row r="29" spans="1:40" x14ac:dyDescent="0.25">
      <c r="A29" s="26">
        <v>23</v>
      </c>
      <c r="B29" s="27" t="str">
        <f>Absensi!B27</f>
        <v>Gudang A</v>
      </c>
      <c r="C29" s="27" t="str">
        <f>Rekap!C29</f>
        <v>Ali Imron</v>
      </c>
      <c r="D29" s="46" t="str">
        <f t="shared" si="1"/>
        <v>Gudang AAli Imron</v>
      </c>
      <c r="E29">
        <f>COUNTIFS(Absensi!$D27:$ND27,"C",Absensi!$D$2:$ND$2,E$6)</f>
        <v>2</v>
      </c>
      <c r="F29">
        <f>COUNTIFS(Absensi!$D27:$ND27,"C",Absensi!$D$2:$ND$2,F$6)</f>
        <v>0</v>
      </c>
      <c r="G29">
        <f>COUNTIFS(Absensi!$D27:$ND27,"C",Absensi!$D$2:$ND$2,G$6)</f>
        <v>5</v>
      </c>
      <c r="H29">
        <f>COUNTIFS(Absensi!$D27:$ND27,"C",Absensi!$D$2:$ND$2,H$6)</f>
        <v>1</v>
      </c>
      <c r="I29">
        <f>COUNTIFS(Absensi!$D27:$ND27,"C",Absensi!$D$2:$ND$2,I$6)</f>
        <v>0</v>
      </c>
      <c r="J29">
        <f>COUNTIFS(Absensi!$D27:$ND27,"C",Absensi!$D$2:$ND$2,J$6)</f>
        <v>0</v>
      </c>
      <c r="K29">
        <f>COUNTIFS(Absensi!$D27:$ND27,"C",Absensi!$D$2:$ND$2,K$6)</f>
        <v>2</v>
      </c>
      <c r="L29">
        <f>COUNTIFS(Absensi!$D27:$ND27,"C",Absensi!$D$2:$ND$2,L$6)</f>
        <v>1</v>
      </c>
      <c r="M29">
        <f>COUNTIFS(Absensi!$D27:$ND27,"C",Absensi!$D$2:$ND$2,M$6)</f>
        <v>0</v>
      </c>
      <c r="N29">
        <f>COUNTIFS(Absensi!$D27:$ND27,"C",Absensi!$D$2:$ND$2,N$6)</f>
        <v>0</v>
      </c>
      <c r="O29">
        <f>COUNTIFS(Absensi!$D27:$ND27,"C",Absensi!$D$2:$ND$2,O$6)</f>
        <v>0</v>
      </c>
      <c r="P29">
        <f>COUNTIFS(Absensi!$D27:$ND27,"C",Absensi!$D$2:$ND$2,P$6)</f>
        <v>0</v>
      </c>
      <c r="Q29">
        <f>COUNTIFS(Absensi!$D27:$ND27,"CS",Absensi!$D$2:$ND$2,Q$6)</f>
        <v>0</v>
      </c>
      <c r="R29">
        <f>COUNTIFS(Absensi!$D27:$ND27,"CS",Absensi!$D$2:$ND$2,R$6)</f>
        <v>0</v>
      </c>
      <c r="S29">
        <f>COUNTIFS(Absensi!$D27:$ND27,"CS",Absensi!$D$2:$ND$2,S$6)</f>
        <v>0</v>
      </c>
      <c r="T29">
        <f>COUNTIFS(Absensi!$D27:$ND27,"CS",Absensi!$D$2:$ND$2,T$6)</f>
        <v>0</v>
      </c>
      <c r="U29">
        <f>COUNTIFS(Absensi!$D27:$ND27,"CS",Absensi!$D$2:$ND$2,U$6)</f>
        <v>0</v>
      </c>
      <c r="V29">
        <f>COUNTIFS(Absensi!$D27:$ND27,"CS",Absensi!$D$2:$ND$2,V$6)</f>
        <v>0</v>
      </c>
      <c r="W29">
        <f>COUNTIFS(Absensi!$D27:$ND27,"CS",Absensi!$D$2:$ND$2,W$6)</f>
        <v>0</v>
      </c>
      <c r="X29">
        <f>COUNTIFS(Absensi!$D27:$ND27,"CS",Absensi!$D$2:$ND$2,X$6)</f>
        <v>0</v>
      </c>
      <c r="Y29">
        <f>COUNTIFS(Absensi!$D27:$ND27,"CS",Absensi!$D$2:$ND$2,Y$6)</f>
        <v>0</v>
      </c>
      <c r="Z29">
        <f>COUNTIFS(Absensi!$D27:$ND27,"CS",Absensi!$D$2:$ND$2,Z$6)</f>
        <v>0</v>
      </c>
      <c r="AA29">
        <f>COUNTIFS(Absensi!$D27:$ND27,"CS",Absensi!$D$2:$ND$2,AA$6)</f>
        <v>0</v>
      </c>
      <c r="AB29">
        <f>COUNTIFS(Absensi!$D27:$ND27,"CS",Absensi!$D$2:$ND$2,AB$6)</f>
        <v>0</v>
      </c>
      <c r="AC29">
        <f t="shared" si="2"/>
        <v>10</v>
      </c>
      <c r="AD29">
        <f t="shared" si="3"/>
        <v>10</v>
      </c>
      <c r="AE29">
        <f t="shared" si="4"/>
        <v>5</v>
      </c>
      <c r="AF29">
        <f t="shared" si="5"/>
        <v>4</v>
      </c>
      <c r="AG29">
        <f t="shared" si="6"/>
        <v>4</v>
      </c>
      <c r="AH29">
        <f t="shared" si="7"/>
        <v>4</v>
      </c>
      <c r="AI29">
        <f t="shared" si="8"/>
        <v>2</v>
      </c>
      <c r="AJ29">
        <f t="shared" si="9"/>
        <v>1</v>
      </c>
      <c r="AK29">
        <f t="shared" si="10"/>
        <v>1</v>
      </c>
      <c r="AL29">
        <f t="shared" si="11"/>
        <v>1</v>
      </c>
      <c r="AM29">
        <f t="shared" si="12"/>
        <v>1</v>
      </c>
      <c r="AN29">
        <f t="shared" si="13"/>
        <v>1</v>
      </c>
    </row>
    <row r="30" spans="1:40" x14ac:dyDescent="0.25">
      <c r="A30" s="26">
        <v>24</v>
      </c>
      <c r="B30" s="27" t="str">
        <f>Absensi!B28</f>
        <v>Gudang A</v>
      </c>
      <c r="C30" s="27" t="str">
        <f>Rekap!C30</f>
        <v>Riyan Setiawan</v>
      </c>
      <c r="D30" s="46" t="str">
        <f t="shared" si="1"/>
        <v>Gudang ARiyan Setiawan</v>
      </c>
      <c r="E30">
        <f>COUNTIFS(Absensi!$D28:$ND28,"C",Absensi!$D$2:$ND$2,E$6)</f>
        <v>0</v>
      </c>
      <c r="F30">
        <f>COUNTIFS(Absensi!$D28:$ND28,"C",Absensi!$D$2:$ND$2,F$6)</f>
        <v>1</v>
      </c>
      <c r="G30">
        <f>COUNTIFS(Absensi!$D28:$ND28,"C",Absensi!$D$2:$ND$2,G$6)</f>
        <v>3</v>
      </c>
      <c r="H30">
        <f>COUNTIFS(Absensi!$D28:$ND28,"C",Absensi!$D$2:$ND$2,H$6)</f>
        <v>1</v>
      </c>
      <c r="I30">
        <f>COUNTIFS(Absensi!$D28:$ND28,"C",Absensi!$D$2:$ND$2,I$6)</f>
        <v>0</v>
      </c>
      <c r="J30">
        <f>COUNTIFS(Absensi!$D28:$ND28,"C",Absensi!$D$2:$ND$2,J$6)</f>
        <v>1</v>
      </c>
      <c r="K30">
        <f>COUNTIFS(Absensi!$D28:$ND28,"C",Absensi!$D$2:$ND$2,K$6)</f>
        <v>2</v>
      </c>
      <c r="L30">
        <f>COUNTIFS(Absensi!$D28:$ND28,"C",Absensi!$D$2:$ND$2,L$6)</f>
        <v>3</v>
      </c>
      <c r="M30">
        <f>COUNTIFS(Absensi!$D28:$ND28,"C",Absensi!$D$2:$ND$2,M$6)</f>
        <v>0</v>
      </c>
      <c r="N30">
        <f>COUNTIFS(Absensi!$D28:$ND28,"C",Absensi!$D$2:$ND$2,N$6)</f>
        <v>0</v>
      </c>
      <c r="O30">
        <f>COUNTIFS(Absensi!$D28:$ND28,"C",Absensi!$D$2:$ND$2,O$6)</f>
        <v>0</v>
      </c>
      <c r="P30">
        <f>COUNTIFS(Absensi!$D28:$ND28,"C",Absensi!$D$2:$ND$2,P$6)</f>
        <v>0</v>
      </c>
      <c r="Q30">
        <f>COUNTIFS(Absensi!$D28:$ND28,"CS",Absensi!$D$2:$ND$2,Q$6)</f>
        <v>0</v>
      </c>
      <c r="R30">
        <f>COUNTIFS(Absensi!$D28:$ND28,"CS",Absensi!$D$2:$ND$2,R$6)</f>
        <v>0</v>
      </c>
      <c r="S30">
        <f>COUNTIFS(Absensi!$D28:$ND28,"CS",Absensi!$D$2:$ND$2,S$6)</f>
        <v>0</v>
      </c>
      <c r="T30">
        <f>COUNTIFS(Absensi!$D28:$ND28,"CS",Absensi!$D$2:$ND$2,T$6)</f>
        <v>0</v>
      </c>
      <c r="U30">
        <f>COUNTIFS(Absensi!$D28:$ND28,"CS",Absensi!$D$2:$ND$2,U$6)</f>
        <v>0</v>
      </c>
      <c r="V30">
        <f>COUNTIFS(Absensi!$D28:$ND28,"CS",Absensi!$D$2:$ND$2,V$6)</f>
        <v>0</v>
      </c>
      <c r="W30">
        <f>COUNTIFS(Absensi!$D28:$ND28,"CS",Absensi!$D$2:$ND$2,W$6)</f>
        <v>0</v>
      </c>
      <c r="X30">
        <f>COUNTIFS(Absensi!$D28:$ND28,"CS",Absensi!$D$2:$ND$2,X$6)</f>
        <v>0</v>
      </c>
      <c r="Y30">
        <f>COUNTIFS(Absensi!$D28:$ND28,"CS",Absensi!$D$2:$ND$2,Y$6)</f>
        <v>0</v>
      </c>
      <c r="Z30">
        <f>COUNTIFS(Absensi!$D28:$ND28,"CS",Absensi!$D$2:$ND$2,Z$6)</f>
        <v>0</v>
      </c>
      <c r="AA30">
        <f>COUNTIFS(Absensi!$D28:$ND28,"CS",Absensi!$D$2:$ND$2,AA$6)</f>
        <v>0</v>
      </c>
      <c r="AB30">
        <f>COUNTIFS(Absensi!$D28:$ND28,"CS",Absensi!$D$2:$ND$2,AB$6)</f>
        <v>0</v>
      </c>
      <c r="AC30">
        <f t="shared" si="2"/>
        <v>12</v>
      </c>
      <c r="AD30">
        <f t="shared" si="3"/>
        <v>11</v>
      </c>
      <c r="AE30">
        <f t="shared" si="4"/>
        <v>8</v>
      </c>
      <c r="AF30">
        <f t="shared" si="5"/>
        <v>7</v>
      </c>
      <c r="AG30">
        <f t="shared" si="6"/>
        <v>7</v>
      </c>
      <c r="AH30">
        <f t="shared" si="7"/>
        <v>6</v>
      </c>
      <c r="AI30">
        <f t="shared" si="8"/>
        <v>4</v>
      </c>
      <c r="AJ30">
        <f t="shared" si="9"/>
        <v>1</v>
      </c>
      <c r="AK30">
        <f t="shared" si="10"/>
        <v>1</v>
      </c>
      <c r="AL30">
        <f t="shared" si="11"/>
        <v>1</v>
      </c>
      <c r="AM30">
        <f t="shared" si="12"/>
        <v>1</v>
      </c>
      <c r="AN30">
        <f t="shared" si="13"/>
        <v>1</v>
      </c>
    </row>
    <row r="31" spans="1:40" x14ac:dyDescent="0.25">
      <c r="A31" s="26">
        <v>25</v>
      </c>
      <c r="B31" s="27" t="str">
        <f>Absensi!B29</f>
        <v>Gudang A</v>
      </c>
      <c r="C31" s="27" t="str">
        <f>Rekap!C31</f>
        <v>Kusnadi</v>
      </c>
      <c r="D31" s="46" t="str">
        <f t="shared" si="1"/>
        <v>Gudang AKusnadi</v>
      </c>
      <c r="E31">
        <f>COUNTIFS(Absensi!$D29:$ND29,"C",Absensi!$D$2:$ND$2,E$6)</f>
        <v>0</v>
      </c>
      <c r="F31">
        <f>COUNTIFS(Absensi!$D29:$ND29,"C",Absensi!$D$2:$ND$2,F$6)</f>
        <v>0</v>
      </c>
      <c r="G31">
        <f>COUNTIFS(Absensi!$D29:$ND29,"C",Absensi!$D$2:$ND$2,G$6)</f>
        <v>3</v>
      </c>
      <c r="H31">
        <f>COUNTIFS(Absensi!$D29:$ND29,"C",Absensi!$D$2:$ND$2,H$6)</f>
        <v>0</v>
      </c>
      <c r="I31">
        <f>COUNTIFS(Absensi!$D29:$ND29,"C",Absensi!$D$2:$ND$2,I$6)</f>
        <v>0</v>
      </c>
      <c r="J31">
        <f>COUNTIFS(Absensi!$D29:$ND29,"C",Absensi!$D$2:$ND$2,J$6)</f>
        <v>1</v>
      </c>
      <c r="K31">
        <f>COUNTIFS(Absensi!$D29:$ND29,"C",Absensi!$D$2:$ND$2,K$6)</f>
        <v>0</v>
      </c>
      <c r="L31">
        <f>COUNTIFS(Absensi!$D29:$ND29,"C",Absensi!$D$2:$ND$2,L$6)</f>
        <v>0</v>
      </c>
      <c r="M31">
        <f>COUNTIFS(Absensi!$D29:$ND29,"C",Absensi!$D$2:$ND$2,M$6)</f>
        <v>0</v>
      </c>
      <c r="N31">
        <f>COUNTIFS(Absensi!$D29:$ND29,"C",Absensi!$D$2:$ND$2,N$6)</f>
        <v>0</v>
      </c>
      <c r="O31">
        <f>COUNTIFS(Absensi!$D29:$ND29,"C",Absensi!$D$2:$ND$2,O$6)</f>
        <v>0</v>
      </c>
      <c r="P31">
        <f>COUNTIFS(Absensi!$D29:$ND29,"C",Absensi!$D$2:$ND$2,P$6)</f>
        <v>0</v>
      </c>
      <c r="Q31">
        <f>COUNTIFS(Absensi!$D29:$ND29,"CS",Absensi!$D$2:$ND$2,Q$6)</f>
        <v>0</v>
      </c>
      <c r="R31">
        <f>COUNTIFS(Absensi!$D29:$ND29,"CS",Absensi!$D$2:$ND$2,R$6)</f>
        <v>0</v>
      </c>
      <c r="S31">
        <f>COUNTIFS(Absensi!$D29:$ND29,"CS",Absensi!$D$2:$ND$2,S$6)</f>
        <v>0</v>
      </c>
      <c r="T31">
        <f>COUNTIFS(Absensi!$D29:$ND29,"CS",Absensi!$D$2:$ND$2,T$6)</f>
        <v>0</v>
      </c>
      <c r="U31">
        <f>COUNTIFS(Absensi!$D29:$ND29,"CS",Absensi!$D$2:$ND$2,U$6)</f>
        <v>0</v>
      </c>
      <c r="V31">
        <f>COUNTIFS(Absensi!$D29:$ND29,"CS",Absensi!$D$2:$ND$2,V$6)</f>
        <v>0</v>
      </c>
      <c r="W31">
        <f>COUNTIFS(Absensi!$D29:$ND29,"CS",Absensi!$D$2:$ND$2,W$6)</f>
        <v>0</v>
      </c>
      <c r="X31">
        <f>COUNTIFS(Absensi!$D29:$ND29,"CS",Absensi!$D$2:$ND$2,X$6)</f>
        <v>0</v>
      </c>
      <c r="Y31">
        <f>COUNTIFS(Absensi!$D29:$ND29,"CS",Absensi!$D$2:$ND$2,Y$6)</f>
        <v>0</v>
      </c>
      <c r="Z31">
        <f>COUNTIFS(Absensi!$D29:$ND29,"CS",Absensi!$D$2:$ND$2,Z$6)</f>
        <v>0</v>
      </c>
      <c r="AA31">
        <f>COUNTIFS(Absensi!$D29:$ND29,"CS",Absensi!$D$2:$ND$2,AA$6)</f>
        <v>0</v>
      </c>
      <c r="AB31">
        <f>COUNTIFS(Absensi!$D29:$ND29,"CS",Absensi!$D$2:$ND$2,AB$6)</f>
        <v>0</v>
      </c>
      <c r="AC31">
        <f t="shared" si="2"/>
        <v>12</v>
      </c>
      <c r="AD31">
        <f t="shared" si="3"/>
        <v>12</v>
      </c>
      <c r="AE31">
        <f t="shared" si="4"/>
        <v>9</v>
      </c>
      <c r="AF31">
        <f t="shared" si="5"/>
        <v>9</v>
      </c>
      <c r="AG31">
        <f t="shared" si="6"/>
        <v>9</v>
      </c>
      <c r="AH31">
        <f t="shared" si="7"/>
        <v>8</v>
      </c>
      <c r="AI31">
        <f t="shared" si="8"/>
        <v>8</v>
      </c>
      <c r="AJ31">
        <f t="shared" si="9"/>
        <v>8</v>
      </c>
      <c r="AK31">
        <f t="shared" si="10"/>
        <v>8</v>
      </c>
      <c r="AL31">
        <f t="shared" si="11"/>
        <v>8</v>
      </c>
      <c r="AM31">
        <f t="shared" si="12"/>
        <v>8</v>
      </c>
      <c r="AN31">
        <f t="shared" si="13"/>
        <v>8</v>
      </c>
    </row>
    <row r="32" spans="1:40" x14ac:dyDescent="0.25">
      <c r="A32" s="26">
        <v>26</v>
      </c>
      <c r="B32" s="27" t="str">
        <f>Absensi!B30</f>
        <v>Gudang A</v>
      </c>
      <c r="C32" s="27" t="str">
        <f>Rekap!C32</f>
        <v>Hamdani</v>
      </c>
      <c r="D32" s="46" t="str">
        <f t="shared" si="1"/>
        <v>Gudang AHamdani</v>
      </c>
      <c r="E32">
        <f>COUNTIFS(Absensi!$D30:$ND30,"C",Absensi!$D$2:$ND$2,E$6)</f>
        <v>0</v>
      </c>
      <c r="F32">
        <f>COUNTIFS(Absensi!$D30:$ND30,"C",Absensi!$D$2:$ND$2,F$6)</f>
        <v>0</v>
      </c>
      <c r="G32">
        <f>COUNTIFS(Absensi!$D30:$ND30,"C",Absensi!$D$2:$ND$2,G$6)</f>
        <v>2</v>
      </c>
      <c r="H32">
        <f>COUNTIFS(Absensi!$D30:$ND30,"C",Absensi!$D$2:$ND$2,H$6)</f>
        <v>0</v>
      </c>
      <c r="I32">
        <f>COUNTIFS(Absensi!$D30:$ND30,"C",Absensi!$D$2:$ND$2,I$6)</f>
        <v>0</v>
      </c>
      <c r="J32">
        <f>COUNTIFS(Absensi!$D30:$ND30,"C",Absensi!$D$2:$ND$2,J$6)</f>
        <v>0</v>
      </c>
      <c r="K32">
        <f>COUNTIFS(Absensi!$D30:$ND30,"C",Absensi!$D$2:$ND$2,K$6)</f>
        <v>0</v>
      </c>
      <c r="L32">
        <f>COUNTIFS(Absensi!$D30:$ND30,"C",Absensi!$D$2:$ND$2,L$6)</f>
        <v>0</v>
      </c>
      <c r="M32">
        <f>COUNTIFS(Absensi!$D30:$ND30,"C",Absensi!$D$2:$ND$2,M$6)</f>
        <v>0</v>
      </c>
      <c r="N32">
        <f>COUNTIFS(Absensi!$D30:$ND30,"C",Absensi!$D$2:$ND$2,N$6)</f>
        <v>0</v>
      </c>
      <c r="O32">
        <f>COUNTIFS(Absensi!$D30:$ND30,"C",Absensi!$D$2:$ND$2,O$6)</f>
        <v>0</v>
      </c>
      <c r="P32">
        <f>COUNTIFS(Absensi!$D30:$ND30,"C",Absensi!$D$2:$ND$2,P$6)</f>
        <v>0</v>
      </c>
      <c r="Q32">
        <f>COUNTIFS(Absensi!$D30:$ND30,"CS",Absensi!$D$2:$ND$2,Q$6)</f>
        <v>0</v>
      </c>
      <c r="R32">
        <f>COUNTIFS(Absensi!$D30:$ND30,"CS",Absensi!$D$2:$ND$2,R$6)</f>
        <v>0</v>
      </c>
      <c r="S32">
        <f>COUNTIFS(Absensi!$D30:$ND30,"CS",Absensi!$D$2:$ND$2,S$6)</f>
        <v>1</v>
      </c>
      <c r="T32">
        <f>COUNTIFS(Absensi!$D30:$ND30,"CS",Absensi!$D$2:$ND$2,T$6)</f>
        <v>0</v>
      </c>
      <c r="U32">
        <f>COUNTIFS(Absensi!$D30:$ND30,"CS",Absensi!$D$2:$ND$2,U$6)</f>
        <v>0</v>
      </c>
      <c r="V32">
        <f>COUNTIFS(Absensi!$D30:$ND30,"CS",Absensi!$D$2:$ND$2,V$6)</f>
        <v>0</v>
      </c>
      <c r="W32">
        <f>COUNTIFS(Absensi!$D30:$ND30,"CS",Absensi!$D$2:$ND$2,W$6)</f>
        <v>0</v>
      </c>
      <c r="X32">
        <f>COUNTIFS(Absensi!$D30:$ND30,"CS",Absensi!$D$2:$ND$2,X$6)</f>
        <v>0</v>
      </c>
      <c r="Y32">
        <f>COUNTIFS(Absensi!$D30:$ND30,"CS",Absensi!$D$2:$ND$2,Y$6)</f>
        <v>0</v>
      </c>
      <c r="Z32">
        <f>COUNTIFS(Absensi!$D30:$ND30,"CS",Absensi!$D$2:$ND$2,Z$6)</f>
        <v>0</v>
      </c>
      <c r="AA32">
        <f>COUNTIFS(Absensi!$D30:$ND30,"CS",Absensi!$D$2:$ND$2,AA$6)</f>
        <v>0</v>
      </c>
      <c r="AB32">
        <f>COUNTIFS(Absensi!$D30:$ND30,"CS",Absensi!$D$2:$ND$2,AB$6)</f>
        <v>0</v>
      </c>
      <c r="AC32">
        <f t="shared" si="2"/>
        <v>12</v>
      </c>
      <c r="AD32">
        <f t="shared" si="3"/>
        <v>12</v>
      </c>
      <c r="AE32">
        <f t="shared" si="4"/>
        <v>9.5</v>
      </c>
      <c r="AF32">
        <f t="shared" si="5"/>
        <v>9.5</v>
      </c>
      <c r="AG32">
        <f t="shared" si="6"/>
        <v>9.5</v>
      </c>
      <c r="AH32">
        <f t="shared" si="7"/>
        <v>9.5</v>
      </c>
      <c r="AI32">
        <f t="shared" si="8"/>
        <v>9.5</v>
      </c>
      <c r="AJ32">
        <f t="shared" si="9"/>
        <v>9.5</v>
      </c>
      <c r="AK32">
        <f t="shared" si="10"/>
        <v>9.5</v>
      </c>
      <c r="AL32">
        <f t="shared" si="11"/>
        <v>9.5</v>
      </c>
      <c r="AM32">
        <f t="shared" si="12"/>
        <v>9.5</v>
      </c>
      <c r="AN32">
        <f t="shared" si="13"/>
        <v>9.5</v>
      </c>
    </row>
    <row r="33" spans="1:40" x14ac:dyDescent="0.25">
      <c r="A33" s="26">
        <v>27</v>
      </c>
      <c r="B33" s="27" t="str">
        <f>Absensi!B31</f>
        <v>Gudang A</v>
      </c>
      <c r="C33" s="27" t="str">
        <f>Rekap!C33</f>
        <v>Risa Srinita</v>
      </c>
      <c r="D33" s="46" t="str">
        <f t="shared" si="1"/>
        <v>Gudang ARisa Srinita</v>
      </c>
      <c r="E33">
        <f>COUNTIFS(Absensi!$D31:$ND31,"C",Absensi!$D$2:$ND$2,E$6)</f>
        <v>0</v>
      </c>
      <c r="F33">
        <f>COUNTIFS(Absensi!$D31:$ND31,"C",Absensi!$D$2:$ND$2,F$6)</f>
        <v>0</v>
      </c>
      <c r="G33">
        <f>COUNTIFS(Absensi!$D31:$ND31,"C",Absensi!$D$2:$ND$2,G$6)</f>
        <v>4</v>
      </c>
      <c r="H33">
        <f>COUNTIFS(Absensi!$D31:$ND31,"C",Absensi!$D$2:$ND$2,H$6)</f>
        <v>0</v>
      </c>
      <c r="I33">
        <f>COUNTIFS(Absensi!$D31:$ND31,"C",Absensi!$D$2:$ND$2,I$6)</f>
        <v>0</v>
      </c>
      <c r="J33">
        <f>COUNTIFS(Absensi!$D31:$ND31,"C",Absensi!$D$2:$ND$2,J$6)</f>
        <v>0</v>
      </c>
      <c r="K33">
        <f>COUNTIFS(Absensi!$D31:$ND31,"C",Absensi!$D$2:$ND$2,K$6)</f>
        <v>0</v>
      </c>
      <c r="L33">
        <f>COUNTIFS(Absensi!$D31:$ND31,"C",Absensi!$D$2:$ND$2,L$6)</f>
        <v>0</v>
      </c>
      <c r="M33">
        <f>COUNTIFS(Absensi!$D31:$ND31,"C",Absensi!$D$2:$ND$2,M$6)</f>
        <v>1</v>
      </c>
      <c r="N33">
        <f>COUNTIFS(Absensi!$D31:$ND31,"C",Absensi!$D$2:$ND$2,N$6)</f>
        <v>0</v>
      </c>
      <c r="O33">
        <f>COUNTIFS(Absensi!$D31:$ND31,"C",Absensi!$D$2:$ND$2,O$6)</f>
        <v>0</v>
      </c>
      <c r="P33">
        <f>COUNTIFS(Absensi!$D31:$ND31,"C",Absensi!$D$2:$ND$2,P$6)</f>
        <v>0</v>
      </c>
      <c r="Q33">
        <f>COUNTIFS(Absensi!$D31:$ND31,"CS",Absensi!$D$2:$ND$2,Q$6)</f>
        <v>0</v>
      </c>
      <c r="R33">
        <f>COUNTIFS(Absensi!$D31:$ND31,"CS",Absensi!$D$2:$ND$2,R$6)</f>
        <v>0</v>
      </c>
      <c r="S33">
        <f>COUNTIFS(Absensi!$D31:$ND31,"CS",Absensi!$D$2:$ND$2,S$6)</f>
        <v>1</v>
      </c>
      <c r="T33">
        <f>COUNTIFS(Absensi!$D31:$ND31,"CS",Absensi!$D$2:$ND$2,T$6)</f>
        <v>0</v>
      </c>
      <c r="U33">
        <f>COUNTIFS(Absensi!$D31:$ND31,"CS",Absensi!$D$2:$ND$2,U$6)</f>
        <v>0</v>
      </c>
      <c r="V33">
        <f>COUNTIFS(Absensi!$D31:$ND31,"CS",Absensi!$D$2:$ND$2,V$6)</f>
        <v>0</v>
      </c>
      <c r="W33">
        <f>COUNTIFS(Absensi!$D31:$ND31,"CS",Absensi!$D$2:$ND$2,W$6)</f>
        <v>0</v>
      </c>
      <c r="X33">
        <f>COUNTIFS(Absensi!$D31:$ND31,"CS",Absensi!$D$2:$ND$2,X$6)</f>
        <v>0</v>
      </c>
      <c r="Y33">
        <f>COUNTIFS(Absensi!$D31:$ND31,"CS",Absensi!$D$2:$ND$2,Y$6)</f>
        <v>0</v>
      </c>
      <c r="Z33">
        <f>COUNTIFS(Absensi!$D31:$ND31,"CS",Absensi!$D$2:$ND$2,Z$6)</f>
        <v>0</v>
      </c>
      <c r="AA33">
        <f>COUNTIFS(Absensi!$D31:$ND31,"CS",Absensi!$D$2:$ND$2,AA$6)</f>
        <v>0</v>
      </c>
      <c r="AB33">
        <f>COUNTIFS(Absensi!$D31:$ND31,"CS",Absensi!$D$2:$ND$2,AB$6)</f>
        <v>0</v>
      </c>
      <c r="AC33">
        <f t="shared" si="2"/>
        <v>12</v>
      </c>
      <c r="AD33">
        <f t="shared" si="3"/>
        <v>12</v>
      </c>
      <c r="AE33">
        <f t="shared" si="4"/>
        <v>7.5</v>
      </c>
      <c r="AF33">
        <f t="shared" si="5"/>
        <v>7.5</v>
      </c>
      <c r="AG33">
        <f t="shared" si="6"/>
        <v>7.5</v>
      </c>
      <c r="AH33">
        <f t="shared" si="7"/>
        <v>7.5</v>
      </c>
      <c r="AI33">
        <f t="shared" si="8"/>
        <v>7.5</v>
      </c>
      <c r="AJ33">
        <f t="shared" si="9"/>
        <v>7.5</v>
      </c>
      <c r="AK33">
        <f t="shared" si="10"/>
        <v>6.5</v>
      </c>
      <c r="AL33">
        <f t="shared" si="11"/>
        <v>6.5</v>
      </c>
      <c r="AM33">
        <f t="shared" si="12"/>
        <v>6.5</v>
      </c>
      <c r="AN33">
        <f t="shared" si="13"/>
        <v>6.5</v>
      </c>
    </row>
    <row r="34" spans="1:40" ht="30" x14ac:dyDescent="0.25">
      <c r="A34" s="26">
        <v>28</v>
      </c>
      <c r="B34" s="27" t="str">
        <f>Absensi!B32</f>
        <v>Gudang A</v>
      </c>
      <c r="C34" s="27" t="str">
        <f>Rekap!C34</f>
        <v>Muhamad Imron Sopary</v>
      </c>
      <c r="D34" s="46" t="str">
        <f t="shared" si="1"/>
        <v>Gudang AMuhamad Imron Sopary</v>
      </c>
      <c r="E34">
        <f>COUNTIFS(Absensi!$D32:$ND32,"C",Absensi!$D$2:$ND$2,E$6)</f>
        <v>0</v>
      </c>
      <c r="F34">
        <f>COUNTIFS(Absensi!$D32:$ND32,"C",Absensi!$D$2:$ND$2,F$6)</f>
        <v>0</v>
      </c>
      <c r="G34">
        <f>COUNTIFS(Absensi!$D32:$ND32,"C",Absensi!$D$2:$ND$2,G$6)</f>
        <v>2</v>
      </c>
      <c r="H34">
        <f>COUNTIFS(Absensi!$D32:$ND32,"C",Absensi!$D$2:$ND$2,H$6)</f>
        <v>3</v>
      </c>
      <c r="I34">
        <f>COUNTIFS(Absensi!$D32:$ND32,"C",Absensi!$D$2:$ND$2,I$6)</f>
        <v>0</v>
      </c>
      <c r="J34">
        <f>COUNTIFS(Absensi!$D32:$ND32,"C",Absensi!$D$2:$ND$2,J$6)</f>
        <v>0</v>
      </c>
      <c r="K34">
        <f>COUNTIFS(Absensi!$D32:$ND32,"C",Absensi!$D$2:$ND$2,K$6)</f>
        <v>1</v>
      </c>
      <c r="L34">
        <f>COUNTIFS(Absensi!$D32:$ND32,"C",Absensi!$D$2:$ND$2,L$6)</f>
        <v>1</v>
      </c>
      <c r="M34">
        <f>COUNTIFS(Absensi!$D32:$ND32,"C",Absensi!$D$2:$ND$2,M$6)</f>
        <v>0</v>
      </c>
      <c r="N34">
        <f>COUNTIFS(Absensi!$D32:$ND32,"C",Absensi!$D$2:$ND$2,N$6)</f>
        <v>0</v>
      </c>
      <c r="O34">
        <f>COUNTIFS(Absensi!$D32:$ND32,"C",Absensi!$D$2:$ND$2,O$6)</f>
        <v>0</v>
      </c>
      <c r="P34">
        <f>COUNTIFS(Absensi!$D32:$ND32,"C",Absensi!$D$2:$ND$2,P$6)</f>
        <v>0</v>
      </c>
      <c r="Q34">
        <f>COUNTIFS(Absensi!$D32:$ND32,"CS",Absensi!$D$2:$ND$2,Q$6)</f>
        <v>0</v>
      </c>
      <c r="R34">
        <f>COUNTIFS(Absensi!$D32:$ND32,"CS",Absensi!$D$2:$ND$2,R$6)</f>
        <v>0</v>
      </c>
      <c r="S34">
        <f>COUNTIFS(Absensi!$D32:$ND32,"CS",Absensi!$D$2:$ND$2,S$6)</f>
        <v>1</v>
      </c>
      <c r="T34">
        <f>COUNTIFS(Absensi!$D32:$ND32,"CS",Absensi!$D$2:$ND$2,T$6)</f>
        <v>0</v>
      </c>
      <c r="U34">
        <f>COUNTIFS(Absensi!$D32:$ND32,"CS",Absensi!$D$2:$ND$2,U$6)</f>
        <v>0</v>
      </c>
      <c r="V34">
        <f>COUNTIFS(Absensi!$D32:$ND32,"CS",Absensi!$D$2:$ND$2,V$6)</f>
        <v>0</v>
      </c>
      <c r="W34">
        <f>COUNTIFS(Absensi!$D32:$ND32,"CS",Absensi!$D$2:$ND$2,W$6)</f>
        <v>0</v>
      </c>
      <c r="X34">
        <f>COUNTIFS(Absensi!$D32:$ND32,"CS",Absensi!$D$2:$ND$2,X$6)</f>
        <v>0</v>
      </c>
      <c r="Y34">
        <f>COUNTIFS(Absensi!$D32:$ND32,"CS",Absensi!$D$2:$ND$2,Y$6)</f>
        <v>0</v>
      </c>
      <c r="Z34">
        <f>COUNTIFS(Absensi!$D32:$ND32,"CS",Absensi!$D$2:$ND$2,Z$6)</f>
        <v>0</v>
      </c>
      <c r="AA34">
        <f>COUNTIFS(Absensi!$D32:$ND32,"CS",Absensi!$D$2:$ND$2,AA$6)</f>
        <v>0</v>
      </c>
      <c r="AB34">
        <f>COUNTIFS(Absensi!$D32:$ND32,"CS",Absensi!$D$2:$ND$2,AB$6)</f>
        <v>0</v>
      </c>
      <c r="AC34">
        <f t="shared" si="2"/>
        <v>12</v>
      </c>
      <c r="AD34">
        <f t="shared" si="3"/>
        <v>12</v>
      </c>
      <c r="AE34">
        <f t="shared" si="4"/>
        <v>9.5</v>
      </c>
      <c r="AF34">
        <f t="shared" si="5"/>
        <v>6.5</v>
      </c>
      <c r="AG34">
        <f t="shared" si="6"/>
        <v>6.5</v>
      </c>
      <c r="AH34">
        <f t="shared" si="7"/>
        <v>6.5</v>
      </c>
      <c r="AI34">
        <f t="shared" si="8"/>
        <v>5.5</v>
      </c>
      <c r="AJ34">
        <f t="shared" si="9"/>
        <v>4.5</v>
      </c>
      <c r="AK34">
        <f t="shared" si="10"/>
        <v>4.5</v>
      </c>
      <c r="AL34">
        <f t="shared" si="11"/>
        <v>4.5</v>
      </c>
      <c r="AM34">
        <f t="shared" si="12"/>
        <v>4.5</v>
      </c>
      <c r="AN34">
        <f t="shared" si="13"/>
        <v>4.5</v>
      </c>
    </row>
    <row r="35" spans="1:40" ht="30" x14ac:dyDescent="0.25">
      <c r="A35" s="26">
        <v>29</v>
      </c>
      <c r="B35" s="27" t="str">
        <f>Absensi!B33</f>
        <v>Gudang A</v>
      </c>
      <c r="C35" s="27" t="str">
        <f>Rekap!C35</f>
        <v>Muhammad Fathir Alfarizi</v>
      </c>
      <c r="D35" s="46" t="str">
        <f t="shared" si="1"/>
        <v>Gudang AMuhammad Fathir Alfarizi</v>
      </c>
      <c r="E35">
        <f>COUNTIFS(Absensi!$D33:$ND33,"C",Absensi!$D$2:$ND$2,E$6)</f>
        <v>1</v>
      </c>
      <c r="F35">
        <f>COUNTIFS(Absensi!$D33:$ND33,"C",Absensi!$D$2:$ND$2,F$6)</f>
        <v>0</v>
      </c>
      <c r="G35">
        <f>COUNTIFS(Absensi!$D33:$ND33,"C",Absensi!$D$2:$ND$2,G$6)</f>
        <v>3</v>
      </c>
      <c r="H35">
        <f>COUNTIFS(Absensi!$D33:$ND33,"C",Absensi!$D$2:$ND$2,H$6)</f>
        <v>0</v>
      </c>
      <c r="I35">
        <f>COUNTIFS(Absensi!$D33:$ND33,"C",Absensi!$D$2:$ND$2,I$6)</f>
        <v>3</v>
      </c>
      <c r="J35">
        <f>COUNTIFS(Absensi!$D33:$ND33,"C",Absensi!$D$2:$ND$2,J$6)</f>
        <v>0</v>
      </c>
      <c r="K35">
        <f>COUNTIFS(Absensi!$D33:$ND33,"C",Absensi!$D$2:$ND$2,K$6)</f>
        <v>2</v>
      </c>
      <c r="L35">
        <f>COUNTIFS(Absensi!$D33:$ND33,"C",Absensi!$D$2:$ND$2,L$6)</f>
        <v>1</v>
      </c>
      <c r="M35">
        <f>COUNTIFS(Absensi!$D33:$ND33,"C",Absensi!$D$2:$ND$2,M$6)</f>
        <v>1</v>
      </c>
      <c r="N35">
        <f>COUNTIFS(Absensi!$D33:$ND33,"C",Absensi!$D$2:$ND$2,N$6)</f>
        <v>0</v>
      </c>
      <c r="O35">
        <f>COUNTIFS(Absensi!$D33:$ND33,"C",Absensi!$D$2:$ND$2,O$6)</f>
        <v>0</v>
      </c>
      <c r="P35">
        <f>COUNTIFS(Absensi!$D33:$ND33,"C",Absensi!$D$2:$ND$2,P$6)</f>
        <v>0</v>
      </c>
      <c r="Q35">
        <f>COUNTIFS(Absensi!$D33:$ND33,"CS",Absensi!$D$2:$ND$2,Q$6)</f>
        <v>0</v>
      </c>
      <c r="R35">
        <f>COUNTIFS(Absensi!$D33:$ND33,"CS",Absensi!$D$2:$ND$2,R$6)</f>
        <v>0</v>
      </c>
      <c r="S35">
        <f>COUNTIFS(Absensi!$D33:$ND33,"CS",Absensi!$D$2:$ND$2,S$6)</f>
        <v>0</v>
      </c>
      <c r="T35">
        <f>COUNTIFS(Absensi!$D33:$ND33,"CS",Absensi!$D$2:$ND$2,T$6)</f>
        <v>0</v>
      </c>
      <c r="U35">
        <f>COUNTIFS(Absensi!$D33:$ND33,"CS",Absensi!$D$2:$ND$2,U$6)</f>
        <v>0</v>
      </c>
      <c r="V35">
        <f>COUNTIFS(Absensi!$D33:$ND33,"CS",Absensi!$D$2:$ND$2,V$6)</f>
        <v>0</v>
      </c>
      <c r="W35">
        <f>COUNTIFS(Absensi!$D33:$ND33,"CS",Absensi!$D$2:$ND$2,W$6)</f>
        <v>0</v>
      </c>
      <c r="X35">
        <f>COUNTIFS(Absensi!$D33:$ND33,"CS",Absensi!$D$2:$ND$2,X$6)</f>
        <v>0</v>
      </c>
      <c r="Y35">
        <f>COUNTIFS(Absensi!$D33:$ND33,"CS",Absensi!$D$2:$ND$2,Y$6)</f>
        <v>0</v>
      </c>
      <c r="Z35">
        <f>COUNTIFS(Absensi!$D33:$ND33,"CS",Absensi!$D$2:$ND$2,Z$6)</f>
        <v>0</v>
      </c>
      <c r="AA35">
        <f>COUNTIFS(Absensi!$D33:$ND33,"CS",Absensi!$D$2:$ND$2,AA$6)</f>
        <v>0</v>
      </c>
      <c r="AB35">
        <f>COUNTIFS(Absensi!$D33:$ND33,"CS",Absensi!$D$2:$ND$2,AB$6)</f>
        <v>0</v>
      </c>
      <c r="AC35">
        <f t="shared" si="2"/>
        <v>11</v>
      </c>
      <c r="AD35">
        <f t="shared" si="3"/>
        <v>11</v>
      </c>
      <c r="AE35">
        <f t="shared" si="4"/>
        <v>8</v>
      </c>
      <c r="AF35">
        <f t="shared" si="5"/>
        <v>8</v>
      </c>
      <c r="AG35">
        <f t="shared" si="6"/>
        <v>5</v>
      </c>
      <c r="AH35">
        <f t="shared" si="7"/>
        <v>5</v>
      </c>
      <c r="AI35">
        <f t="shared" si="8"/>
        <v>3</v>
      </c>
      <c r="AJ35">
        <f t="shared" si="9"/>
        <v>2</v>
      </c>
      <c r="AK35">
        <f t="shared" si="10"/>
        <v>1</v>
      </c>
      <c r="AL35">
        <f t="shared" si="11"/>
        <v>1</v>
      </c>
      <c r="AM35">
        <f t="shared" si="12"/>
        <v>1</v>
      </c>
      <c r="AN35">
        <f t="shared" si="13"/>
        <v>1</v>
      </c>
    </row>
    <row r="36" spans="1:40" x14ac:dyDescent="0.25">
      <c r="A36" s="26">
        <v>30</v>
      </c>
      <c r="B36" s="27" t="str">
        <f>Absensi!B34</f>
        <v>Gudang A</v>
      </c>
      <c r="C36" s="27" t="str">
        <f>Rekap!C36</f>
        <v>Fikri Paturohman</v>
      </c>
      <c r="D36" s="46" t="str">
        <f t="shared" si="1"/>
        <v>Gudang AFikri Paturohman</v>
      </c>
      <c r="E36">
        <f>COUNTIFS(Absensi!$D34:$ND34,"C",Absensi!$D$2:$ND$2,E$6)</f>
        <v>0</v>
      </c>
      <c r="F36">
        <f>COUNTIFS(Absensi!$D34:$ND34,"C",Absensi!$D$2:$ND$2,F$6)</f>
        <v>0</v>
      </c>
      <c r="G36">
        <f>COUNTIFS(Absensi!$D34:$ND34,"C",Absensi!$D$2:$ND$2,G$6)</f>
        <v>4</v>
      </c>
      <c r="H36">
        <f>COUNTIFS(Absensi!$D34:$ND34,"C",Absensi!$D$2:$ND$2,H$6)</f>
        <v>0</v>
      </c>
      <c r="I36">
        <f>COUNTIFS(Absensi!$D34:$ND34,"C",Absensi!$D$2:$ND$2,I$6)</f>
        <v>0</v>
      </c>
      <c r="J36">
        <f>COUNTIFS(Absensi!$D34:$ND34,"C",Absensi!$D$2:$ND$2,J$6)</f>
        <v>4</v>
      </c>
      <c r="K36">
        <f>COUNTIFS(Absensi!$D34:$ND34,"C",Absensi!$D$2:$ND$2,K$6)</f>
        <v>4</v>
      </c>
      <c r="L36">
        <f>COUNTIFS(Absensi!$D34:$ND34,"C",Absensi!$D$2:$ND$2,L$6)</f>
        <v>1</v>
      </c>
      <c r="M36">
        <f>COUNTIFS(Absensi!$D34:$ND34,"C",Absensi!$D$2:$ND$2,M$6)</f>
        <v>2</v>
      </c>
      <c r="N36">
        <f>COUNTIFS(Absensi!$D34:$ND34,"C",Absensi!$D$2:$ND$2,N$6)</f>
        <v>0</v>
      </c>
      <c r="O36">
        <f>COUNTIFS(Absensi!$D34:$ND34,"C",Absensi!$D$2:$ND$2,O$6)</f>
        <v>0</v>
      </c>
      <c r="P36">
        <f>COUNTIFS(Absensi!$D34:$ND34,"C",Absensi!$D$2:$ND$2,P$6)</f>
        <v>0</v>
      </c>
      <c r="Q36">
        <f>COUNTIFS(Absensi!$D34:$ND34,"CS",Absensi!$D$2:$ND$2,Q$6)</f>
        <v>0</v>
      </c>
      <c r="R36">
        <f>COUNTIFS(Absensi!$D34:$ND34,"CS",Absensi!$D$2:$ND$2,R$6)</f>
        <v>0</v>
      </c>
      <c r="S36">
        <f>COUNTIFS(Absensi!$D34:$ND34,"CS",Absensi!$D$2:$ND$2,S$6)</f>
        <v>0</v>
      </c>
      <c r="T36">
        <f>COUNTIFS(Absensi!$D34:$ND34,"CS",Absensi!$D$2:$ND$2,T$6)</f>
        <v>0</v>
      </c>
      <c r="U36">
        <f>COUNTIFS(Absensi!$D34:$ND34,"CS",Absensi!$D$2:$ND$2,U$6)</f>
        <v>0</v>
      </c>
      <c r="V36">
        <f>COUNTIFS(Absensi!$D34:$ND34,"CS",Absensi!$D$2:$ND$2,V$6)</f>
        <v>0</v>
      </c>
      <c r="W36">
        <f>COUNTIFS(Absensi!$D34:$ND34,"CS",Absensi!$D$2:$ND$2,W$6)</f>
        <v>0</v>
      </c>
      <c r="X36">
        <f>COUNTIFS(Absensi!$D34:$ND34,"CS",Absensi!$D$2:$ND$2,X$6)</f>
        <v>0</v>
      </c>
      <c r="Y36">
        <f>COUNTIFS(Absensi!$D34:$ND34,"CS",Absensi!$D$2:$ND$2,Y$6)</f>
        <v>0</v>
      </c>
      <c r="Z36">
        <f>COUNTIFS(Absensi!$D34:$ND34,"CS",Absensi!$D$2:$ND$2,Z$6)</f>
        <v>0</v>
      </c>
      <c r="AA36">
        <f>COUNTIFS(Absensi!$D34:$ND34,"CS",Absensi!$D$2:$ND$2,AA$6)</f>
        <v>0</v>
      </c>
      <c r="AB36">
        <f>COUNTIFS(Absensi!$D34:$ND34,"CS",Absensi!$D$2:$ND$2,AB$6)</f>
        <v>0</v>
      </c>
      <c r="AC36">
        <f t="shared" si="2"/>
        <v>12</v>
      </c>
      <c r="AD36">
        <f t="shared" si="3"/>
        <v>12</v>
      </c>
      <c r="AE36">
        <f t="shared" si="4"/>
        <v>8</v>
      </c>
      <c r="AF36">
        <f t="shared" si="5"/>
        <v>8</v>
      </c>
      <c r="AG36">
        <f t="shared" si="6"/>
        <v>8</v>
      </c>
      <c r="AH36">
        <f t="shared" si="7"/>
        <v>4</v>
      </c>
      <c r="AI36">
        <f t="shared" si="8"/>
        <v>0</v>
      </c>
      <c r="AJ36">
        <f t="shared" si="9"/>
        <v>-1</v>
      </c>
      <c r="AK36">
        <f t="shared" si="10"/>
        <v>-3</v>
      </c>
      <c r="AL36">
        <f t="shared" si="11"/>
        <v>-3</v>
      </c>
      <c r="AM36">
        <f t="shared" si="12"/>
        <v>-3</v>
      </c>
      <c r="AN36">
        <f t="shared" si="13"/>
        <v>-3</v>
      </c>
    </row>
    <row r="37" spans="1:40" x14ac:dyDescent="0.25">
      <c r="A37" s="26">
        <v>31</v>
      </c>
      <c r="B37" s="27" t="str">
        <f>Absensi!B35</f>
        <v>Gudang A</v>
      </c>
      <c r="C37" s="27" t="str">
        <f>Rekap!C37</f>
        <v>Saiful Fisri</v>
      </c>
      <c r="D37" s="46" t="str">
        <f t="shared" si="1"/>
        <v>Gudang ASaiful Fisri</v>
      </c>
      <c r="E37">
        <f>COUNTIFS(Absensi!$D35:$ND35,"C",Absensi!$D$2:$ND$2,E$6)</f>
        <v>0</v>
      </c>
      <c r="F37">
        <f>COUNTIFS(Absensi!$D35:$ND35,"C",Absensi!$D$2:$ND$2,F$6)</f>
        <v>0</v>
      </c>
      <c r="G37">
        <f>COUNTIFS(Absensi!$D35:$ND35,"C",Absensi!$D$2:$ND$2,G$6)</f>
        <v>4</v>
      </c>
      <c r="H37">
        <f>COUNTIFS(Absensi!$D35:$ND35,"C",Absensi!$D$2:$ND$2,H$6)</f>
        <v>1</v>
      </c>
      <c r="I37">
        <f>COUNTIFS(Absensi!$D35:$ND35,"C",Absensi!$D$2:$ND$2,I$6)</f>
        <v>2</v>
      </c>
      <c r="J37">
        <f>COUNTIFS(Absensi!$D35:$ND35,"C",Absensi!$D$2:$ND$2,J$6)</f>
        <v>2</v>
      </c>
      <c r="K37">
        <f>COUNTIFS(Absensi!$D35:$ND35,"C",Absensi!$D$2:$ND$2,K$6)</f>
        <v>3</v>
      </c>
      <c r="L37">
        <f>COUNTIFS(Absensi!$D35:$ND35,"C",Absensi!$D$2:$ND$2,L$6)</f>
        <v>2</v>
      </c>
      <c r="M37">
        <f>COUNTIFS(Absensi!$D35:$ND35,"C",Absensi!$D$2:$ND$2,M$6)</f>
        <v>1</v>
      </c>
      <c r="N37">
        <f>COUNTIFS(Absensi!$D35:$ND35,"C",Absensi!$D$2:$ND$2,N$6)</f>
        <v>0</v>
      </c>
      <c r="O37">
        <f>COUNTIFS(Absensi!$D35:$ND35,"C",Absensi!$D$2:$ND$2,O$6)</f>
        <v>0</v>
      </c>
      <c r="P37">
        <f>COUNTIFS(Absensi!$D35:$ND35,"C",Absensi!$D$2:$ND$2,P$6)</f>
        <v>0</v>
      </c>
      <c r="Q37">
        <f>COUNTIFS(Absensi!$D35:$ND35,"CS",Absensi!$D$2:$ND$2,Q$6)</f>
        <v>0</v>
      </c>
      <c r="R37">
        <f>COUNTIFS(Absensi!$D35:$ND35,"CS",Absensi!$D$2:$ND$2,R$6)</f>
        <v>0</v>
      </c>
      <c r="S37">
        <f>COUNTIFS(Absensi!$D35:$ND35,"CS",Absensi!$D$2:$ND$2,S$6)</f>
        <v>0</v>
      </c>
      <c r="T37">
        <f>COUNTIFS(Absensi!$D35:$ND35,"CS",Absensi!$D$2:$ND$2,T$6)</f>
        <v>0</v>
      </c>
      <c r="U37">
        <f>COUNTIFS(Absensi!$D35:$ND35,"CS",Absensi!$D$2:$ND$2,U$6)</f>
        <v>0</v>
      </c>
      <c r="V37">
        <f>COUNTIFS(Absensi!$D35:$ND35,"CS",Absensi!$D$2:$ND$2,V$6)</f>
        <v>0</v>
      </c>
      <c r="W37">
        <f>COUNTIFS(Absensi!$D35:$ND35,"CS",Absensi!$D$2:$ND$2,W$6)</f>
        <v>0</v>
      </c>
      <c r="X37">
        <f>COUNTIFS(Absensi!$D35:$ND35,"CS",Absensi!$D$2:$ND$2,X$6)</f>
        <v>0</v>
      </c>
      <c r="Y37">
        <f>COUNTIFS(Absensi!$D35:$ND35,"CS",Absensi!$D$2:$ND$2,Y$6)</f>
        <v>0</v>
      </c>
      <c r="Z37">
        <f>COUNTIFS(Absensi!$D35:$ND35,"CS",Absensi!$D$2:$ND$2,Z$6)</f>
        <v>0</v>
      </c>
      <c r="AA37">
        <f>COUNTIFS(Absensi!$D35:$ND35,"CS",Absensi!$D$2:$ND$2,AA$6)</f>
        <v>0</v>
      </c>
      <c r="AB37">
        <f>COUNTIFS(Absensi!$D35:$ND35,"CS",Absensi!$D$2:$ND$2,AB$6)</f>
        <v>0</v>
      </c>
      <c r="AC37">
        <f t="shared" si="2"/>
        <v>12</v>
      </c>
      <c r="AD37">
        <f t="shared" si="3"/>
        <v>12</v>
      </c>
      <c r="AE37">
        <f t="shared" si="4"/>
        <v>8</v>
      </c>
      <c r="AF37">
        <f t="shared" si="5"/>
        <v>7</v>
      </c>
      <c r="AG37">
        <f t="shared" si="6"/>
        <v>5</v>
      </c>
      <c r="AH37">
        <f t="shared" si="7"/>
        <v>3</v>
      </c>
      <c r="AI37">
        <f t="shared" si="8"/>
        <v>0</v>
      </c>
      <c r="AJ37">
        <f t="shared" si="9"/>
        <v>-2</v>
      </c>
      <c r="AK37">
        <f t="shared" si="10"/>
        <v>-3</v>
      </c>
      <c r="AL37">
        <f t="shared" si="11"/>
        <v>-3</v>
      </c>
      <c r="AM37">
        <f t="shared" si="12"/>
        <v>-3</v>
      </c>
      <c r="AN37">
        <f t="shared" si="13"/>
        <v>-3</v>
      </c>
    </row>
    <row r="38" spans="1:40" x14ac:dyDescent="0.25">
      <c r="A38" s="26">
        <v>32</v>
      </c>
      <c r="B38" s="27" t="str">
        <f>Absensi!B36</f>
        <v>Gudang A</v>
      </c>
      <c r="C38" s="27" t="str">
        <f>Rekap!C38</f>
        <v>M. Fariz Maulana</v>
      </c>
      <c r="D38" s="46" t="str">
        <f t="shared" si="1"/>
        <v>Gudang AM. Fariz Maulana</v>
      </c>
      <c r="E38">
        <f>COUNTIFS(Absensi!$D36:$ND36,"C",Absensi!$D$2:$ND$2,E$6)</f>
        <v>0</v>
      </c>
      <c r="F38">
        <f>COUNTIFS(Absensi!$D36:$ND36,"C",Absensi!$D$2:$ND$2,F$6)</f>
        <v>0</v>
      </c>
      <c r="G38">
        <f>COUNTIFS(Absensi!$D36:$ND36,"C",Absensi!$D$2:$ND$2,G$6)</f>
        <v>3</v>
      </c>
      <c r="H38">
        <f>COUNTIFS(Absensi!$D36:$ND36,"C",Absensi!$D$2:$ND$2,H$6)</f>
        <v>0</v>
      </c>
      <c r="I38">
        <f>COUNTIFS(Absensi!$D36:$ND36,"C",Absensi!$D$2:$ND$2,I$6)</f>
        <v>0</v>
      </c>
      <c r="J38">
        <f>COUNTIFS(Absensi!$D36:$ND36,"C",Absensi!$D$2:$ND$2,J$6)</f>
        <v>0</v>
      </c>
      <c r="K38">
        <f>COUNTIFS(Absensi!$D36:$ND36,"C",Absensi!$D$2:$ND$2,K$6)</f>
        <v>0</v>
      </c>
      <c r="L38">
        <f>COUNTIFS(Absensi!$D36:$ND36,"C",Absensi!$D$2:$ND$2,L$6)</f>
        <v>0</v>
      </c>
      <c r="M38">
        <f>COUNTIFS(Absensi!$D36:$ND36,"C",Absensi!$D$2:$ND$2,M$6)</f>
        <v>0</v>
      </c>
      <c r="N38">
        <f>COUNTIFS(Absensi!$D36:$ND36,"C",Absensi!$D$2:$ND$2,N$6)</f>
        <v>0</v>
      </c>
      <c r="O38">
        <f>COUNTIFS(Absensi!$D36:$ND36,"C",Absensi!$D$2:$ND$2,O$6)</f>
        <v>0</v>
      </c>
      <c r="P38">
        <f>COUNTIFS(Absensi!$D36:$ND36,"C",Absensi!$D$2:$ND$2,P$6)</f>
        <v>0</v>
      </c>
      <c r="Q38">
        <f>COUNTIFS(Absensi!$D36:$ND36,"CS",Absensi!$D$2:$ND$2,Q$6)</f>
        <v>0</v>
      </c>
      <c r="R38">
        <f>COUNTIFS(Absensi!$D36:$ND36,"CS",Absensi!$D$2:$ND$2,R$6)</f>
        <v>0</v>
      </c>
      <c r="S38">
        <f>COUNTIFS(Absensi!$D36:$ND36,"CS",Absensi!$D$2:$ND$2,S$6)</f>
        <v>0</v>
      </c>
      <c r="T38">
        <f>COUNTIFS(Absensi!$D36:$ND36,"CS",Absensi!$D$2:$ND$2,T$6)</f>
        <v>0</v>
      </c>
      <c r="U38">
        <f>COUNTIFS(Absensi!$D36:$ND36,"CS",Absensi!$D$2:$ND$2,U$6)</f>
        <v>0</v>
      </c>
      <c r="V38">
        <f>COUNTIFS(Absensi!$D36:$ND36,"CS",Absensi!$D$2:$ND$2,V$6)</f>
        <v>0</v>
      </c>
      <c r="W38">
        <f>COUNTIFS(Absensi!$D36:$ND36,"CS",Absensi!$D$2:$ND$2,W$6)</f>
        <v>0</v>
      </c>
      <c r="X38">
        <f>COUNTIFS(Absensi!$D36:$ND36,"CS",Absensi!$D$2:$ND$2,X$6)</f>
        <v>0</v>
      </c>
      <c r="Y38">
        <f>COUNTIFS(Absensi!$D36:$ND36,"CS",Absensi!$D$2:$ND$2,Y$6)</f>
        <v>0</v>
      </c>
      <c r="Z38">
        <f>COUNTIFS(Absensi!$D36:$ND36,"CS",Absensi!$D$2:$ND$2,Z$6)</f>
        <v>0</v>
      </c>
      <c r="AA38">
        <f>COUNTIFS(Absensi!$D36:$ND36,"CS",Absensi!$D$2:$ND$2,AA$6)</f>
        <v>0</v>
      </c>
      <c r="AB38">
        <f>COUNTIFS(Absensi!$D36:$ND36,"CS",Absensi!$D$2:$ND$2,AB$6)</f>
        <v>0</v>
      </c>
      <c r="AC38">
        <f t="shared" si="2"/>
        <v>12</v>
      </c>
      <c r="AD38">
        <f t="shared" si="3"/>
        <v>12</v>
      </c>
      <c r="AE38">
        <f t="shared" si="4"/>
        <v>9</v>
      </c>
      <c r="AF38">
        <f t="shared" si="5"/>
        <v>9</v>
      </c>
      <c r="AG38">
        <f t="shared" si="6"/>
        <v>9</v>
      </c>
      <c r="AH38">
        <f t="shared" si="7"/>
        <v>9</v>
      </c>
      <c r="AI38">
        <f t="shared" si="8"/>
        <v>9</v>
      </c>
      <c r="AJ38">
        <f t="shared" si="9"/>
        <v>9</v>
      </c>
      <c r="AK38">
        <f t="shared" si="10"/>
        <v>9</v>
      </c>
      <c r="AL38">
        <f t="shared" si="11"/>
        <v>9</v>
      </c>
      <c r="AM38">
        <f t="shared" si="12"/>
        <v>9</v>
      </c>
      <c r="AN38">
        <f t="shared" si="13"/>
        <v>9</v>
      </c>
    </row>
    <row r="39" spans="1:40" ht="30" x14ac:dyDescent="0.25">
      <c r="A39" s="26">
        <v>33</v>
      </c>
      <c r="B39" s="27" t="str">
        <f>Absensi!B37</f>
        <v>Gudang A</v>
      </c>
      <c r="C39" s="27" t="str">
        <f>Rekap!C39</f>
        <v>Malik Irsad Abdullah</v>
      </c>
      <c r="D39" s="46" t="str">
        <f t="shared" si="1"/>
        <v>Gudang AMalik Irsad Abdullah</v>
      </c>
      <c r="E39">
        <f>COUNTIFS(Absensi!$D37:$ND37,"C",Absensi!$D$2:$ND$2,E$6)</f>
        <v>0</v>
      </c>
      <c r="F39">
        <f>COUNTIFS(Absensi!$D37:$ND37,"C",Absensi!$D$2:$ND$2,F$6)</f>
        <v>0</v>
      </c>
      <c r="G39">
        <f>COUNTIFS(Absensi!$D37:$ND37,"C",Absensi!$D$2:$ND$2,G$6)</f>
        <v>3</v>
      </c>
      <c r="H39">
        <f>COUNTIFS(Absensi!$D37:$ND37,"C",Absensi!$D$2:$ND$2,H$6)</f>
        <v>0</v>
      </c>
      <c r="I39">
        <f>COUNTIFS(Absensi!$D37:$ND37,"C",Absensi!$D$2:$ND$2,I$6)</f>
        <v>0</v>
      </c>
      <c r="J39">
        <f>COUNTIFS(Absensi!$D37:$ND37,"C",Absensi!$D$2:$ND$2,J$6)</f>
        <v>1</v>
      </c>
      <c r="K39">
        <f>COUNTIFS(Absensi!$D37:$ND37,"C",Absensi!$D$2:$ND$2,K$6)</f>
        <v>2</v>
      </c>
      <c r="L39">
        <f>COUNTIFS(Absensi!$D37:$ND37,"C",Absensi!$D$2:$ND$2,L$6)</f>
        <v>4</v>
      </c>
      <c r="M39">
        <f>COUNTIFS(Absensi!$D37:$ND37,"C",Absensi!$D$2:$ND$2,M$6)</f>
        <v>1</v>
      </c>
      <c r="N39">
        <f>COUNTIFS(Absensi!$D37:$ND37,"C",Absensi!$D$2:$ND$2,N$6)</f>
        <v>0</v>
      </c>
      <c r="O39">
        <f>COUNTIFS(Absensi!$D37:$ND37,"C",Absensi!$D$2:$ND$2,O$6)</f>
        <v>0</v>
      </c>
      <c r="P39">
        <f>COUNTIFS(Absensi!$D37:$ND37,"C",Absensi!$D$2:$ND$2,P$6)</f>
        <v>0</v>
      </c>
      <c r="Q39">
        <f>COUNTIFS(Absensi!$D37:$ND37,"CS",Absensi!$D$2:$ND$2,Q$6)</f>
        <v>0</v>
      </c>
      <c r="R39">
        <f>COUNTIFS(Absensi!$D37:$ND37,"CS",Absensi!$D$2:$ND$2,R$6)</f>
        <v>0</v>
      </c>
      <c r="S39">
        <f>COUNTIFS(Absensi!$D37:$ND37,"CS",Absensi!$D$2:$ND$2,S$6)</f>
        <v>0</v>
      </c>
      <c r="T39">
        <f>COUNTIFS(Absensi!$D37:$ND37,"CS",Absensi!$D$2:$ND$2,T$6)</f>
        <v>0</v>
      </c>
      <c r="U39">
        <f>COUNTIFS(Absensi!$D37:$ND37,"CS",Absensi!$D$2:$ND$2,U$6)</f>
        <v>0</v>
      </c>
      <c r="V39">
        <f>COUNTIFS(Absensi!$D37:$ND37,"CS",Absensi!$D$2:$ND$2,V$6)</f>
        <v>0</v>
      </c>
      <c r="W39">
        <f>COUNTIFS(Absensi!$D37:$ND37,"CS",Absensi!$D$2:$ND$2,W$6)</f>
        <v>0</v>
      </c>
      <c r="X39">
        <f>COUNTIFS(Absensi!$D37:$ND37,"CS",Absensi!$D$2:$ND$2,X$6)</f>
        <v>0</v>
      </c>
      <c r="Y39">
        <f>COUNTIFS(Absensi!$D37:$ND37,"CS",Absensi!$D$2:$ND$2,Y$6)</f>
        <v>0</v>
      </c>
      <c r="Z39">
        <f>COUNTIFS(Absensi!$D37:$ND37,"CS",Absensi!$D$2:$ND$2,Z$6)</f>
        <v>0</v>
      </c>
      <c r="AA39">
        <f>COUNTIFS(Absensi!$D37:$ND37,"CS",Absensi!$D$2:$ND$2,AA$6)</f>
        <v>0</v>
      </c>
      <c r="AB39">
        <f>COUNTIFS(Absensi!$D37:$ND37,"CS",Absensi!$D$2:$ND$2,AB$6)</f>
        <v>0</v>
      </c>
      <c r="AC39">
        <f t="shared" si="2"/>
        <v>12</v>
      </c>
      <c r="AD39">
        <f t="shared" si="3"/>
        <v>12</v>
      </c>
      <c r="AE39">
        <f t="shared" si="4"/>
        <v>9</v>
      </c>
      <c r="AF39">
        <f t="shared" si="5"/>
        <v>9</v>
      </c>
      <c r="AG39">
        <f t="shared" si="6"/>
        <v>9</v>
      </c>
      <c r="AH39">
        <f t="shared" si="7"/>
        <v>8</v>
      </c>
      <c r="AI39">
        <f t="shared" si="8"/>
        <v>6</v>
      </c>
      <c r="AJ39">
        <f t="shared" si="9"/>
        <v>2</v>
      </c>
      <c r="AK39">
        <f t="shared" si="10"/>
        <v>1</v>
      </c>
      <c r="AL39">
        <f t="shared" si="11"/>
        <v>1</v>
      </c>
      <c r="AM39">
        <f t="shared" si="12"/>
        <v>1</v>
      </c>
      <c r="AN39">
        <f t="shared" si="13"/>
        <v>1</v>
      </c>
    </row>
    <row r="40" spans="1:40" x14ac:dyDescent="0.25">
      <c r="A40" s="26">
        <v>34</v>
      </c>
      <c r="B40" s="27" t="str">
        <f>Absensi!B38</f>
        <v>Gudang A</v>
      </c>
      <c r="C40" s="27" t="str">
        <f>Rekap!C40</f>
        <v>Fatul Muhni Khozali</v>
      </c>
      <c r="D40" s="46" t="str">
        <f t="shared" si="1"/>
        <v>Gudang AFatul Muhni Khozali</v>
      </c>
      <c r="E40">
        <f>COUNTIFS(Absensi!$D38:$ND38,"C",Absensi!$D$2:$ND$2,E$6)</f>
        <v>0</v>
      </c>
      <c r="F40">
        <f>COUNTIFS(Absensi!$D38:$ND38,"C",Absensi!$D$2:$ND$2,F$6)</f>
        <v>0</v>
      </c>
      <c r="G40">
        <f>COUNTIFS(Absensi!$D38:$ND38,"C",Absensi!$D$2:$ND$2,G$6)</f>
        <v>3</v>
      </c>
      <c r="H40">
        <f>COUNTIFS(Absensi!$D38:$ND38,"C",Absensi!$D$2:$ND$2,H$6)</f>
        <v>0</v>
      </c>
      <c r="I40">
        <f>COUNTIFS(Absensi!$D38:$ND38,"C",Absensi!$D$2:$ND$2,I$6)</f>
        <v>1</v>
      </c>
      <c r="J40">
        <f>COUNTIFS(Absensi!$D38:$ND38,"C",Absensi!$D$2:$ND$2,J$6)</f>
        <v>4</v>
      </c>
      <c r="K40">
        <f>COUNTIFS(Absensi!$D38:$ND38,"C",Absensi!$D$2:$ND$2,K$6)</f>
        <v>0</v>
      </c>
      <c r="L40">
        <f>COUNTIFS(Absensi!$D38:$ND38,"C",Absensi!$D$2:$ND$2,L$6)</f>
        <v>1</v>
      </c>
      <c r="M40">
        <f>COUNTIFS(Absensi!$D38:$ND38,"C",Absensi!$D$2:$ND$2,M$6)</f>
        <v>1</v>
      </c>
      <c r="N40">
        <f>COUNTIFS(Absensi!$D38:$ND38,"C",Absensi!$D$2:$ND$2,N$6)</f>
        <v>0</v>
      </c>
      <c r="O40">
        <f>COUNTIFS(Absensi!$D38:$ND38,"C",Absensi!$D$2:$ND$2,O$6)</f>
        <v>0</v>
      </c>
      <c r="P40">
        <f>COUNTIFS(Absensi!$D38:$ND38,"C",Absensi!$D$2:$ND$2,P$6)</f>
        <v>0</v>
      </c>
      <c r="Q40">
        <f>COUNTIFS(Absensi!$D38:$ND38,"CS",Absensi!$D$2:$ND$2,Q$6)</f>
        <v>0</v>
      </c>
      <c r="R40">
        <f>COUNTIFS(Absensi!$D38:$ND38,"CS",Absensi!$D$2:$ND$2,R$6)</f>
        <v>0</v>
      </c>
      <c r="S40">
        <f>COUNTIFS(Absensi!$D38:$ND38,"CS",Absensi!$D$2:$ND$2,S$6)</f>
        <v>0</v>
      </c>
      <c r="T40">
        <f>COUNTIFS(Absensi!$D38:$ND38,"CS",Absensi!$D$2:$ND$2,T$6)</f>
        <v>0</v>
      </c>
      <c r="U40">
        <f>COUNTIFS(Absensi!$D38:$ND38,"CS",Absensi!$D$2:$ND$2,U$6)</f>
        <v>0</v>
      </c>
      <c r="V40">
        <f>COUNTIFS(Absensi!$D38:$ND38,"CS",Absensi!$D$2:$ND$2,V$6)</f>
        <v>0</v>
      </c>
      <c r="W40">
        <f>COUNTIFS(Absensi!$D38:$ND38,"CS",Absensi!$D$2:$ND$2,W$6)</f>
        <v>0</v>
      </c>
      <c r="X40">
        <f>COUNTIFS(Absensi!$D38:$ND38,"CS",Absensi!$D$2:$ND$2,X$6)</f>
        <v>0</v>
      </c>
      <c r="Y40">
        <f>COUNTIFS(Absensi!$D38:$ND38,"CS",Absensi!$D$2:$ND$2,Y$6)</f>
        <v>0</v>
      </c>
      <c r="Z40">
        <f>COUNTIFS(Absensi!$D38:$ND38,"CS",Absensi!$D$2:$ND$2,Z$6)</f>
        <v>0</v>
      </c>
      <c r="AA40">
        <f>COUNTIFS(Absensi!$D38:$ND38,"CS",Absensi!$D$2:$ND$2,AA$6)</f>
        <v>0</v>
      </c>
      <c r="AB40">
        <f>COUNTIFS(Absensi!$D38:$ND38,"CS",Absensi!$D$2:$ND$2,AB$6)</f>
        <v>0</v>
      </c>
      <c r="AC40">
        <f t="shared" si="2"/>
        <v>12</v>
      </c>
      <c r="AD40">
        <f t="shared" si="3"/>
        <v>12</v>
      </c>
      <c r="AE40">
        <f t="shared" si="4"/>
        <v>9</v>
      </c>
      <c r="AF40">
        <f t="shared" si="5"/>
        <v>9</v>
      </c>
      <c r="AG40">
        <f t="shared" si="6"/>
        <v>8</v>
      </c>
      <c r="AH40">
        <f t="shared" si="7"/>
        <v>4</v>
      </c>
      <c r="AI40">
        <f t="shared" si="8"/>
        <v>4</v>
      </c>
      <c r="AJ40">
        <f t="shared" si="9"/>
        <v>3</v>
      </c>
      <c r="AK40">
        <f t="shared" si="10"/>
        <v>2</v>
      </c>
      <c r="AL40">
        <f t="shared" si="11"/>
        <v>2</v>
      </c>
      <c r="AM40">
        <f t="shared" si="12"/>
        <v>2</v>
      </c>
      <c r="AN40">
        <f t="shared" si="13"/>
        <v>2</v>
      </c>
    </row>
    <row r="41" spans="1:40" ht="30" x14ac:dyDescent="0.25">
      <c r="A41" s="26">
        <v>35</v>
      </c>
      <c r="B41" s="27" t="str">
        <f>Absensi!B39</f>
        <v>Gudang A</v>
      </c>
      <c r="C41" s="27" t="str">
        <f>Rekap!C41</f>
        <v>Putrinesia Ramadhani H</v>
      </c>
      <c r="D41" s="46" t="str">
        <f t="shared" si="1"/>
        <v>Gudang APutrinesia Ramadhani H</v>
      </c>
      <c r="E41">
        <f>COUNTIFS(Absensi!$D39:$ND39,"C",Absensi!$D$2:$ND$2,E$6)</f>
        <v>0</v>
      </c>
      <c r="F41">
        <f>COUNTIFS(Absensi!$D39:$ND39,"C",Absensi!$D$2:$ND$2,F$6)</f>
        <v>0</v>
      </c>
      <c r="G41">
        <f>COUNTIFS(Absensi!$D39:$ND39,"C",Absensi!$D$2:$ND$2,G$6)</f>
        <v>3</v>
      </c>
      <c r="H41">
        <f>COUNTIFS(Absensi!$D39:$ND39,"C",Absensi!$D$2:$ND$2,H$6)</f>
        <v>0</v>
      </c>
      <c r="I41">
        <f>COUNTIFS(Absensi!$D39:$ND39,"C",Absensi!$D$2:$ND$2,I$6)</f>
        <v>0</v>
      </c>
      <c r="J41">
        <f>COUNTIFS(Absensi!$D39:$ND39,"C",Absensi!$D$2:$ND$2,J$6)</f>
        <v>0</v>
      </c>
      <c r="K41">
        <f>COUNTIFS(Absensi!$D39:$ND39,"C",Absensi!$D$2:$ND$2,K$6)</f>
        <v>0</v>
      </c>
      <c r="L41">
        <f>COUNTIFS(Absensi!$D39:$ND39,"C",Absensi!$D$2:$ND$2,L$6)</f>
        <v>0</v>
      </c>
      <c r="M41">
        <f>COUNTIFS(Absensi!$D39:$ND39,"C",Absensi!$D$2:$ND$2,M$6)</f>
        <v>0</v>
      </c>
      <c r="N41">
        <f>COUNTIFS(Absensi!$D39:$ND39,"C",Absensi!$D$2:$ND$2,N$6)</f>
        <v>0</v>
      </c>
      <c r="O41">
        <f>COUNTIFS(Absensi!$D39:$ND39,"C",Absensi!$D$2:$ND$2,O$6)</f>
        <v>0</v>
      </c>
      <c r="P41">
        <f>COUNTIFS(Absensi!$D39:$ND39,"C",Absensi!$D$2:$ND$2,P$6)</f>
        <v>0</v>
      </c>
      <c r="Q41">
        <f>COUNTIFS(Absensi!$D39:$ND39,"CS",Absensi!$D$2:$ND$2,Q$6)</f>
        <v>0</v>
      </c>
      <c r="R41">
        <f>COUNTIFS(Absensi!$D39:$ND39,"CS",Absensi!$D$2:$ND$2,R$6)</f>
        <v>0</v>
      </c>
      <c r="S41">
        <f>COUNTIFS(Absensi!$D39:$ND39,"CS",Absensi!$D$2:$ND$2,S$6)</f>
        <v>0</v>
      </c>
      <c r="T41">
        <f>COUNTIFS(Absensi!$D39:$ND39,"CS",Absensi!$D$2:$ND$2,T$6)</f>
        <v>0</v>
      </c>
      <c r="U41">
        <f>COUNTIFS(Absensi!$D39:$ND39,"CS",Absensi!$D$2:$ND$2,U$6)</f>
        <v>0</v>
      </c>
      <c r="V41">
        <f>COUNTIFS(Absensi!$D39:$ND39,"CS",Absensi!$D$2:$ND$2,V$6)</f>
        <v>0</v>
      </c>
      <c r="W41">
        <f>COUNTIFS(Absensi!$D39:$ND39,"CS",Absensi!$D$2:$ND$2,W$6)</f>
        <v>0</v>
      </c>
      <c r="X41">
        <f>COUNTIFS(Absensi!$D39:$ND39,"CS",Absensi!$D$2:$ND$2,X$6)</f>
        <v>0</v>
      </c>
      <c r="Y41">
        <f>COUNTIFS(Absensi!$D39:$ND39,"CS",Absensi!$D$2:$ND$2,Y$6)</f>
        <v>0</v>
      </c>
      <c r="Z41">
        <f>COUNTIFS(Absensi!$D39:$ND39,"CS",Absensi!$D$2:$ND$2,Z$6)</f>
        <v>0</v>
      </c>
      <c r="AA41">
        <f>COUNTIFS(Absensi!$D39:$ND39,"CS",Absensi!$D$2:$ND$2,AA$6)</f>
        <v>0</v>
      </c>
      <c r="AB41">
        <f>COUNTIFS(Absensi!$D39:$ND39,"CS",Absensi!$D$2:$ND$2,AB$6)</f>
        <v>0</v>
      </c>
      <c r="AC41">
        <f t="shared" si="2"/>
        <v>12</v>
      </c>
      <c r="AD41">
        <f t="shared" si="3"/>
        <v>12</v>
      </c>
      <c r="AE41">
        <f t="shared" si="4"/>
        <v>9</v>
      </c>
      <c r="AF41">
        <f t="shared" si="5"/>
        <v>9</v>
      </c>
      <c r="AG41">
        <f t="shared" si="6"/>
        <v>9</v>
      </c>
      <c r="AH41">
        <f t="shared" si="7"/>
        <v>9</v>
      </c>
      <c r="AI41">
        <f t="shared" si="8"/>
        <v>9</v>
      </c>
      <c r="AJ41">
        <f t="shared" si="9"/>
        <v>9</v>
      </c>
      <c r="AK41">
        <f t="shared" si="10"/>
        <v>9</v>
      </c>
      <c r="AL41">
        <f t="shared" si="11"/>
        <v>9</v>
      </c>
      <c r="AM41">
        <f t="shared" si="12"/>
        <v>9</v>
      </c>
      <c r="AN41">
        <f t="shared" si="13"/>
        <v>9</v>
      </c>
    </row>
    <row r="42" spans="1:40" x14ac:dyDescent="0.25">
      <c r="A42" s="26">
        <v>36</v>
      </c>
      <c r="B42" s="27" t="str">
        <f>Absensi!B40</f>
        <v>Gudang A</v>
      </c>
      <c r="C42" s="27" t="str">
        <f>Rekap!C42</f>
        <v>Intan Melani</v>
      </c>
      <c r="D42" s="46" t="str">
        <f t="shared" si="1"/>
        <v>Gudang AIntan Melani</v>
      </c>
      <c r="E42">
        <f>COUNTIFS(Absensi!$D40:$ND40,"C",Absensi!$D$2:$ND$2,E$6)</f>
        <v>0</v>
      </c>
      <c r="F42">
        <f>COUNTIFS(Absensi!$D40:$ND40,"C",Absensi!$D$2:$ND$2,F$6)</f>
        <v>0</v>
      </c>
      <c r="G42">
        <f>COUNTIFS(Absensi!$D40:$ND40,"C",Absensi!$D$2:$ND$2,G$6)</f>
        <v>3</v>
      </c>
      <c r="H42">
        <f>COUNTIFS(Absensi!$D40:$ND40,"C",Absensi!$D$2:$ND$2,H$6)</f>
        <v>0</v>
      </c>
      <c r="I42">
        <f>COUNTIFS(Absensi!$D40:$ND40,"C",Absensi!$D$2:$ND$2,I$6)</f>
        <v>1</v>
      </c>
      <c r="J42">
        <f>COUNTIFS(Absensi!$D40:$ND40,"C",Absensi!$D$2:$ND$2,J$6)</f>
        <v>0</v>
      </c>
      <c r="K42">
        <f>COUNTIFS(Absensi!$D40:$ND40,"C",Absensi!$D$2:$ND$2,K$6)</f>
        <v>0</v>
      </c>
      <c r="L42">
        <f>COUNTIFS(Absensi!$D40:$ND40,"C",Absensi!$D$2:$ND$2,L$6)</f>
        <v>0</v>
      </c>
      <c r="M42">
        <f>COUNTIFS(Absensi!$D40:$ND40,"C",Absensi!$D$2:$ND$2,M$6)</f>
        <v>0</v>
      </c>
      <c r="N42">
        <f>COUNTIFS(Absensi!$D40:$ND40,"C",Absensi!$D$2:$ND$2,N$6)</f>
        <v>0</v>
      </c>
      <c r="O42">
        <f>COUNTIFS(Absensi!$D40:$ND40,"C",Absensi!$D$2:$ND$2,O$6)</f>
        <v>0</v>
      </c>
      <c r="P42">
        <f>COUNTIFS(Absensi!$D40:$ND40,"C",Absensi!$D$2:$ND$2,P$6)</f>
        <v>0</v>
      </c>
      <c r="Q42">
        <f>COUNTIFS(Absensi!$D40:$ND40,"CS",Absensi!$D$2:$ND$2,Q$6)</f>
        <v>0</v>
      </c>
      <c r="R42">
        <f>COUNTIFS(Absensi!$D40:$ND40,"CS",Absensi!$D$2:$ND$2,R$6)</f>
        <v>0</v>
      </c>
      <c r="S42">
        <f>COUNTIFS(Absensi!$D40:$ND40,"CS",Absensi!$D$2:$ND$2,S$6)</f>
        <v>0</v>
      </c>
      <c r="T42">
        <f>COUNTIFS(Absensi!$D40:$ND40,"CS",Absensi!$D$2:$ND$2,T$6)</f>
        <v>0</v>
      </c>
      <c r="U42">
        <f>COUNTIFS(Absensi!$D40:$ND40,"CS",Absensi!$D$2:$ND$2,U$6)</f>
        <v>0</v>
      </c>
      <c r="V42">
        <f>COUNTIFS(Absensi!$D40:$ND40,"CS",Absensi!$D$2:$ND$2,V$6)</f>
        <v>0</v>
      </c>
      <c r="W42">
        <f>COUNTIFS(Absensi!$D40:$ND40,"CS",Absensi!$D$2:$ND$2,W$6)</f>
        <v>0</v>
      </c>
      <c r="X42">
        <f>COUNTIFS(Absensi!$D40:$ND40,"CS",Absensi!$D$2:$ND$2,X$6)</f>
        <v>0</v>
      </c>
      <c r="Y42">
        <f>COUNTIFS(Absensi!$D40:$ND40,"CS",Absensi!$D$2:$ND$2,Y$6)</f>
        <v>0</v>
      </c>
      <c r="Z42">
        <f>COUNTIFS(Absensi!$D40:$ND40,"CS",Absensi!$D$2:$ND$2,Z$6)</f>
        <v>0</v>
      </c>
      <c r="AA42">
        <f>COUNTIFS(Absensi!$D40:$ND40,"CS",Absensi!$D$2:$ND$2,AA$6)</f>
        <v>0</v>
      </c>
      <c r="AB42">
        <f>COUNTIFS(Absensi!$D40:$ND40,"CS",Absensi!$D$2:$ND$2,AB$6)</f>
        <v>0</v>
      </c>
      <c r="AC42">
        <f t="shared" si="2"/>
        <v>12</v>
      </c>
      <c r="AD42">
        <f t="shared" si="3"/>
        <v>12</v>
      </c>
      <c r="AE42">
        <f t="shared" si="4"/>
        <v>9</v>
      </c>
      <c r="AF42">
        <f t="shared" si="5"/>
        <v>9</v>
      </c>
      <c r="AG42">
        <f t="shared" si="6"/>
        <v>8</v>
      </c>
      <c r="AH42">
        <f t="shared" si="7"/>
        <v>8</v>
      </c>
      <c r="AI42">
        <f t="shared" si="8"/>
        <v>8</v>
      </c>
      <c r="AJ42">
        <f t="shared" si="9"/>
        <v>8</v>
      </c>
      <c r="AK42">
        <f t="shared" si="10"/>
        <v>8</v>
      </c>
      <c r="AL42">
        <f t="shared" si="11"/>
        <v>8</v>
      </c>
      <c r="AM42">
        <f t="shared" si="12"/>
        <v>8</v>
      </c>
      <c r="AN42">
        <f t="shared" si="13"/>
        <v>8</v>
      </c>
    </row>
    <row r="43" spans="1:40" x14ac:dyDescent="0.25">
      <c r="A43" s="26">
        <v>37</v>
      </c>
      <c r="B43" s="27" t="str">
        <f>Absensi!B41</f>
        <v>Gudang A</v>
      </c>
      <c r="C43" s="27" t="str">
        <f>Rekap!C43</f>
        <v>Fahrul Azi</v>
      </c>
      <c r="D43" s="46" t="str">
        <f t="shared" si="1"/>
        <v>Gudang AFahrul Azi</v>
      </c>
      <c r="E43">
        <f>COUNTIFS(Absensi!$D41:$ND41,"C",Absensi!$D$2:$ND$2,E$6)</f>
        <v>0</v>
      </c>
      <c r="F43">
        <f>COUNTIFS(Absensi!$D41:$ND41,"C",Absensi!$D$2:$ND$2,F$6)</f>
        <v>0</v>
      </c>
      <c r="G43">
        <f>COUNTIFS(Absensi!$D41:$ND41,"C",Absensi!$D$2:$ND$2,G$6)</f>
        <v>2</v>
      </c>
      <c r="H43">
        <f>COUNTIFS(Absensi!$D41:$ND41,"C",Absensi!$D$2:$ND$2,H$6)</f>
        <v>0</v>
      </c>
      <c r="I43">
        <f>COUNTIFS(Absensi!$D41:$ND41,"C",Absensi!$D$2:$ND$2,I$6)</f>
        <v>0</v>
      </c>
      <c r="J43">
        <f>COUNTIFS(Absensi!$D41:$ND41,"C",Absensi!$D$2:$ND$2,J$6)</f>
        <v>0</v>
      </c>
      <c r="K43">
        <f>COUNTIFS(Absensi!$D41:$ND41,"C",Absensi!$D$2:$ND$2,K$6)</f>
        <v>2</v>
      </c>
      <c r="L43">
        <f>COUNTIFS(Absensi!$D41:$ND41,"C",Absensi!$D$2:$ND$2,L$6)</f>
        <v>0</v>
      </c>
      <c r="M43">
        <f>COUNTIFS(Absensi!$D41:$ND41,"C",Absensi!$D$2:$ND$2,M$6)</f>
        <v>1</v>
      </c>
      <c r="N43">
        <f>COUNTIFS(Absensi!$D41:$ND41,"C",Absensi!$D$2:$ND$2,N$6)</f>
        <v>0</v>
      </c>
      <c r="O43">
        <f>COUNTIFS(Absensi!$D41:$ND41,"C",Absensi!$D$2:$ND$2,O$6)</f>
        <v>0</v>
      </c>
      <c r="P43">
        <f>COUNTIFS(Absensi!$D41:$ND41,"C",Absensi!$D$2:$ND$2,P$6)</f>
        <v>0</v>
      </c>
      <c r="Q43">
        <f>COUNTIFS(Absensi!$D41:$ND41,"CS",Absensi!$D$2:$ND$2,Q$6)</f>
        <v>0</v>
      </c>
      <c r="R43">
        <f>COUNTIFS(Absensi!$D41:$ND41,"CS",Absensi!$D$2:$ND$2,R$6)</f>
        <v>0</v>
      </c>
      <c r="S43">
        <f>COUNTIFS(Absensi!$D41:$ND41,"CS",Absensi!$D$2:$ND$2,S$6)</f>
        <v>1</v>
      </c>
      <c r="T43">
        <f>COUNTIFS(Absensi!$D41:$ND41,"CS",Absensi!$D$2:$ND$2,T$6)</f>
        <v>0</v>
      </c>
      <c r="U43">
        <f>COUNTIFS(Absensi!$D41:$ND41,"CS",Absensi!$D$2:$ND$2,U$6)</f>
        <v>0</v>
      </c>
      <c r="V43">
        <f>COUNTIFS(Absensi!$D41:$ND41,"CS",Absensi!$D$2:$ND$2,V$6)</f>
        <v>0</v>
      </c>
      <c r="W43">
        <f>COUNTIFS(Absensi!$D41:$ND41,"CS",Absensi!$D$2:$ND$2,W$6)</f>
        <v>0</v>
      </c>
      <c r="X43">
        <f>COUNTIFS(Absensi!$D41:$ND41,"CS",Absensi!$D$2:$ND$2,X$6)</f>
        <v>0</v>
      </c>
      <c r="Y43">
        <f>COUNTIFS(Absensi!$D41:$ND41,"CS",Absensi!$D$2:$ND$2,Y$6)</f>
        <v>1</v>
      </c>
      <c r="Z43">
        <f>COUNTIFS(Absensi!$D41:$ND41,"CS",Absensi!$D$2:$ND$2,Z$6)</f>
        <v>0</v>
      </c>
      <c r="AA43">
        <f>COUNTIFS(Absensi!$D41:$ND41,"CS",Absensi!$D$2:$ND$2,AA$6)</f>
        <v>0</v>
      </c>
      <c r="AB43">
        <f>COUNTIFS(Absensi!$D41:$ND41,"CS",Absensi!$D$2:$ND$2,AB$6)</f>
        <v>0</v>
      </c>
      <c r="AC43">
        <f t="shared" si="2"/>
        <v>12</v>
      </c>
      <c r="AD43">
        <f t="shared" si="3"/>
        <v>12</v>
      </c>
      <c r="AE43">
        <f t="shared" si="4"/>
        <v>9.5</v>
      </c>
      <c r="AF43">
        <f t="shared" si="5"/>
        <v>9.5</v>
      </c>
      <c r="AG43">
        <f t="shared" si="6"/>
        <v>9.5</v>
      </c>
      <c r="AH43">
        <f t="shared" si="7"/>
        <v>9.5</v>
      </c>
      <c r="AI43">
        <f t="shared" si="8"/>
        <v>7.5</v>
      </c>
      <c r="AJ43">
        <f t="shared" si="9"/>
        <v>7.5</v>
      </c>
      <c r="AK43">
        <f t="shared" si="10"/>
        <v>6</v>
      </c>
      <c r="AL43">
        <f t="shared" si="11"/>
        <v>6</v>
      </c>
      <c r="AM43">
        <f t="shared" si="12"/>
        <v>6</v>
      </c>
      <c r="AN43">
        <f t="shared" si="13"/>
        <v>6</v>
      </c>
    </row>
    <row r="44" spans="1:40" x14ac:dyDescent="0.25">
      <c r="A44" s="26">
        <v>38</v>
      </c>
      <c r="B44" s="27" t="str">
        <f>Absensi!B42</f>
        <v>Gudang A</v>
      </c>
      <c r="C44" s="27" t="str">
        <f>Rekap!C44</f>
        <v>Sapto Fama</v>
      </c>
      <c r="D44" s="46" t="str">
        <f t="shared" si="1"/>
        <v>Gudang ASapto Fama</v>
      </c>
      <c r="E44">
        <f>COUNTIFS(Absensi!$D42:$ND42,"C",Absensi!$D$2:$ND$2,E$6)</f>
        <v>0</v>
      </c>
      <c r="F44">
        <f>COUNTIFS(Absensi!$D42:$ND42,"C",Absensi!$D$2:$ND$2,F$6)</f>
        <v>2</v>
      </c>
      <c r="G44">
        <f>COUNTIFS(Absensi!$D42:$ND42,"C",Absensi!$D$2:$ND$2,G$6)</f>
        <v>2</v>
      </c>
      <c r="H44">
        <f>COUNTIFS(Absensi!$D42:$ND42,"C",Absensi!$D$2:$ND$2,H$6)</f>
        <v>2</v>
      </c>
      <c r="I44">
        <f>COUNTIFS(Absensi!$D42:$ND42,"C",Absensi!$D$2:$ND$2,I$6)</f>
        <v>0</v>
      </c>
      <c r="J44">
        <f>COUNTIFS(Absensi!$D42:$ND42,"C",Absensi!$D$2:$ND$2,J$6)</f>
        <v>0</v>
      </c>
      <c r="K44">
        <f>COUNTIFS(Absensi!$D42:$ND42,"C",Absensi!$D$2:$ND$2,K$6)</f>
        <v>0</v>
      </c>
      <c r="L44">
        <f>COUNTIFS(Absensi!$D42:$ND42,"C",Absensi!$D$2:$ND$2,L$6)</f>
        <v>1</v>
      </c>
      <c r="M44">
        <f>COUNTIFS(Absensi!$D42:$ND42,"C",Absensi!$D$2:$ND$2,M$6)</f>
        <v>0</v>
      </c>
      <c r="N44">
        <f>COUNTIFS(Absensi!$D42:$ND42,"C",Absensi!$D$2:$ND$2,N$6)</f>
        <v>0</v>
      </c>
      <c r="O44">
        <f>COUNTIFS(Absensi!$D42:$ND42,"C",Absensi!$D$2:$ND$2,O$6)</f>
        <v>0</v>
      </c>
      <c r="P44">
        <f>COUNTIFS(Absensi!$D42:$ND42,"C",Absensi!$D$2:$ND$2,P$6)</f>
        <v>0</v>
      </c>
      <c r="Q44">
        <f>COUNTIFS(Absensi!$D42:$ND42,"CS",Absensi!$D$2:$ND$2,Q$6)</f>
        <v>0</v>
      </c>
      <c r="R44">
        <f>COUNTIFS(Absensi!$D42:$ND42,"CS",Absensi!$D$2:$ND$2,R$6)</f>
        <v>0</v>
      </c>
      <c r="S44">
        <f>COUNTIFS(Absensi!$D42:$ND42,"CS",Absensi!$D$2:$ND$2,S$6)</f>
        <v>1</v>
      </c>
      <c r="T44">
        <f>COUNTIFS(Absensi!$D42:$ND42,"CS",Absensi!$D$2:$ND$2,T$6)</f>
        <v>0</v>
      </c>
      <c r="U44">
        <f>COUNTIFS(Absensi!$D42:$ND42,"CS",Absensi!$D$2:$ND$2,U$6)</f>
        <v>1</v>
      </c>
      <c r="V44">
        <f>COUNTIFS(Absensi!$D42:$ND42,"CS",Absensi!$D$2:$ND$2,V$6)</f>
        <v>0</v>
      </c>
      <c r="W44">
        <f>COUNTIFS(Absensi!$D42:$ND42,"CS",Absensi!$D$2:$ND$2,W$6)</f>
        <v>0</v>
      </c>
      <c r="X44">
        <f>COUNTIFS(Absensi!$D42:$ND42,"CS",Absensi!$D$2:$ND$2,X$6)</f>
        <v>0</v>
      </c>
      <c r="Y44">
        <f>COUNTIFS(Absensi!$D42:$ND42,"CS",Absensi!$D$2:$ND$2,Y$6)</f>
        <v>0</v>
      </c>
      <c r="Z44">
        <f>COUNTIFS(Absensi!$D42:$ND42,"CS",Absensi!$D$2:$ND$2,Z$6)</f>
        <v>0</v>
      </c>
      <c r="AA44">
        <f>COUNTIFS(Absensi!$D42:$ND42,"CS",Absensi!$D$2:$ND$2,AA$6)</f>
        <v>0</v>
      </c>
      <c r="AB44">
        <f>COUNTIFS(Absensi!$D42:$ND42,"CS",Absensi!$D$2:$ND$2,AB$6)</f>
        <v>0</v>
      </c>
      <c r="AC44">
        <f t="shared" si="2"/>
        <v>12</v>
      </c>
      <c r="AD44">
        <f t="shared" si="3"/>
        <v>10</v>
      </c>
      <c r="AE44">
        <f t="shared" si="4"/>
        <v>7.5</v>
      </c>
      <c r="AF44">
        <f t="shared" si="5"/>
        <v>5.5</v>
      </c>
      <c r="AG44">
        <f t="shared" si="6"/>
        <v>5</v>
      </c>
      <c r="AH44">
        <f t="shared" si="7"/>
        <v>5</v>
      </c>
      <c r="AI44">
        <f t="shared" si="8"/>
        <v>5</v>
      </c>
      <c r="AJ44">
        <f t="shared" si="9"/>
        <v>4</v>
      </c>
      <c r="AK44">
        <f t="shared" si="10"/>
        <v>4</v>
      </c>
      <c r="AL44">
        <f t="shared" si="11"/>
        <v>4</v>
      </c>
      <c r="AM44">
        <f t="shared" si="12"/>
        <v>4</v>
      </c>
      <c r="AN44">
        <f t="shared" si="13"/>
        <v>4</v>
      </c>
    </row>
    <row r="45" spans="1:40" ht="30" x14ac:dyDescent="0.25">
      <c r="A45" s="26">
        <v>39</v>
      </c>
      <c r="B45" s="27" t="str">
        <f>Absensi!B43</f>
        <v>Gudang A</v>
      </c>
      <c r="C45" s="27" t="str">
        <f>Rekap!C45</f>
        <v>Pandu Galih Prakoso</v>
      </c>
      <c r="D45" s="46" t="str">
        <f t="shared" si="1"/>
        <v>Gudang APandu Galih Prakoso</v>
      </c>
      <c r="E45">
        <f>COUNTIFS(Absensi!$D43:$ND43,"C",Absensi!$D$2:$ND$2,E$6)</f>
        <v>0</v>
      </c>
      <c r="F45">
        <f>COUNTIFS(Absensi!$D43:$ND43,"C",Absensi!$D$2:$ND$2,F$6)</f>
        <v>0</v>
      </c>
      <c r="G45">
        <f>COUNTIFS(Absensi!$D43:$ND43,"C",Absensi!$D$2:$ND$2,G$6)</f>
        <v>2</v>
      </c>
      <c r="H45">
        <f>COUNTIFS(Absensi!$D43:$ND43,"C",Absensi!$D$2:$ND$2,H$6)</f>
        <v>5</v>
      </c>
      <c r="I45">
        <f>COUNTIFS(Absensi!$D43:$ND43,"C",Absensi!$D$2:$ND$2,I$6)</f>
        <v>0</v>
      </c>
      <c r="J45">
        <f>COUNTIFS(Absensi!$D43:$ND43,"C",Absensi!$D$2:$ND$2,J$6)</f>
        <v>0</v>
      </c>
      <c r="K45">
        <f>COUNTIFS(Absensi!$D43:$ND43,"C",Absensi!$D$2:$ND$2,K$6)</f>
        <v>0</v>
      </c>
      <c r="L45">
        <f>COUNTIFS(Absensi!$D43:$ND43,"C",Absensi!$D$2:$ND$2,L$6)</f>
        <v>0</v>
      </c>
      <c r="M45">
        <f>COUNTIFS(Absensi!$D43:$ND43,"C",Absensi!$D$2:$ND$2,M$6)</f>
        <v>0</v>
      </c>
      <c r="N45">
        <f>COUNTIFS(Absensi!$D43:$ND43,"C",Absensi!$D$2:$ND$2,N$6)</f>
        <v>0</v>
      </c>
      <c r="O45">
        <f>COUNTIFS(Absensi!$D43:$ND43,"C",Absensi!$D$2:$ND$2,O$6)</f>
        <v>0</v>
      </c>
      <c r="P45">
        <f>COUNTIFS(Absensi!$D43:$ND43,"C",Absensi!$D$2:$ND$2,P$6)</f>
        <v>0</v>
      </c>
      <c r="Q45">
        <f>COUNTIFS(Absensi!$D43:$ND43,"CS",Absensi!$D$2:$ND$2,Q$6)</f>
        <v>0</v>
      </c>
      <c r="R45">
        <f>COUNTIFS(Absensi!$D43:$ND43,"CS",Absensi!$D$2:$ND$2,R$6)</f>
        <v>0</v>
      </c>
      <c r="S45">
        <f>COUNTIFS(Absensi!$D43:$ND43,"CS",Absensi!$D$2:$ND$2,S$6)</f>
        <v>1</v>
      </c>
      <c r="T45">
        <f>COUNTIFS(Absensi!$D43:$ND43,"CS",Absensi!$D$2:$ND$2,T$6)</f>
        <v>0</v>
      </c>
      <c r="U45">
        <f>COUNTIFS(Absensi!$D43:$ND43,"CS",Absensi!$D$2:$ND$2,U$6)</f>
        <v>0</v>
      </c>
      <c r="V45">
        <f>COUNTIFS(Absensi!$D43:$ND43,"CS",Absensi!$D$2:$ND$2,V$6)</f>
        <v>0</v>
      </c>
      <c r="W45">
        <f>COUNTIFS(Absensi!$D43:$ND43,"CS",Absensi!$D$2:$ND$2,W$6)</f>
        <v>0</v>
      </c>
      <c r="X45">
        <f>COUNTIFS(Absensi!$D43:$ND43,"CS",Absensi!$D$2:$ND$2,X$6)</f>
        <v>0</v>
      </c>
      <c r="Y45">
        <f>COUNTIFS(Absensi!$D43:$ND43,"CS",Absensi!$D$2:$ND$2,Y$6)</f>
        <v>0</v>
      </c>
      <c r="Z45">
        <f>COUNTIFS(Absensi!$D43:$ND43,"CS",Absensi!$D$2:$ND$2,Z$6)</f>
        <v>0</v>
      </c>
      <c r="AA45">
        <f>COUNTIFS(Absensi!$D43:$ND43,"CS",Absensi!$D$2:$ND$2,AA$6)</f>
        <v>0</v>
      </c>
      <c r="AB45">
        <f>COUNTIFS(Absensi!$D43:$ND43,"CS",Absensi!$D$2:$ND$2,AB$6)</f>
        <v>0</v>
      </c>
      <c r="AC45">
        <f t="shared" si="2"/>
        <v>12</v>
      </c>
      <c r="AD45">
        <f t="shared" si="3"/>
        <v>12</v>
      </c>
      <c r="AE45">
        <f t="shared" si="4"/>
        <v>9.5</v>
      </c>
      <c r="AF45">
        <f t="shared" si="5"/>
        <v>4.5</v>
      </c>
      <c r="AG45">
        <f t="shared" si="6"/>
        <v>4.5</v>
      </c>
      <c r="AH45">
        <f t="shared" si="7"/>
        <v>4.5</v>
      </c>
      <c r="AI45">
        <f t="shared" si="8"/>
        <v>4.5</v>
      </c>
      <c r="AJ45">
        <f t="shared" si="9"/>
        <v>4.5</v>
      </c>
      <c r="AK45">
        <f t="shared" si="10"/>
        <v>4.5</v>
      </c>
      <c r="AL45">
        <f t="shared" si="11"/>
        <v>4.5</v>
      </c>
      <c r="AM45">
        <f t="shared" si="12"/>
        <v>4.5</v>
      </c>
      <c r="AN45">
        <f t="shared" si="13"/>
        <v>4.5</v>
      </c>
    </row>
    <row r="46" spans="1:40" x14ac:dyDescent="0.25">
      <c r="A46" s="26">
        <v>40</v>
      </c>
      <c r="B46" s="27" t="str">
        <f>Absensi!B44</f>
        <v>Gudang A</v>
      </c>
      <c r="C46" s="27" t="str">
        <f>Rekap!C46</f>
        <v>Anna Virlya Aryanto</v>
      </c>
      <c r="D46" s="46" t="str">
        <f t="shared" si="1"/>
        <v>Gudang AAnna Virlya Aryanto</v>
      </c>
      <c r="E46">
        <f>COUNTIFS(Absensi!$D44:$ND44,"C",Absensi!$D$2:$ND$2,E$6)</f>
        <v>0</v>
      </c>
      <c r="F46">
        <f>COUNTIFS(Absensi!$D44:$ND44,"C",Absensi!$D$2:$ND$2,F$6)</f>
        <v>0</v>
      </c>
      <c r="G46">
        <f>COUNTIFS(Absensi!$D44:$ND44,"C",Absensi!$D$2:$ND$2,G$6)</f>
        <v>2</v>
      </c>
      <c r="H46">
        <f>COUNTIFS(Absensi!$D44:$ND44,"C",Absensi!$D$2:$ND$2,H$6)</f>
        <v>0</v>
      </c>
      <c r="I46">
        <f>COUNTIFS(Absensi!$D44:$ND44,"C",Absensi!$D$2:$ND$2,I$6)</f>
        <v>0</v>
      </c>
      <c r="J46">
        <f>COUNTIFS(Absensi!$D44:$ND44,"C",Absensi!$D$2:$ND$2,J$6)</f>
        <v>0</v>
      </c>
      <c r="K46">
        <f>COUNTIFS(Absensi!$D44:$ND44,"C",Absensi!$D$2:$ND$2,K$6)</f>
        <v>0</v>
      </c>
      <c r="L46">
        <f>COUNTIFS(Absensi!$D44:$ND44,"C",Absensi!$D$2:$ND$2,L$6)</f>
        <v>1</v>
      </c>
      <c r="M46">
        <f>COUNTIFS(Absensi!$D44:$ND44,"C",Absensi!$D$2:$ND$2,M$6)</f>
        <v>0</v>
      </c>
      <c r="N46">
        <f>COUNTIFS(Absensi!$D44:$ND44,"C",Absensi!$D$2:$ND$2,N$6)</f>
        <v>0</v>
      </c>
      <c r="O46">
        <f>COUNTIFS(Absensi!$D44:$ND44,"C",Absensi!$D$2:$ND$2,O$6)</f>
        <v>0</v>
      </c>
      <c r="P46">
        <f>COUNTIFS(Absensi!$D44:$ND44,"C",Absensi!$D$2:$ND$2,P$6)</f>
        <v>0</v>
      </c>
      <c r="Q46">
        <f>COUNTIFS(Absensi!$D44:$ND44,"CS",Absensi!$D$2:$ND$2,Q$6)</f>
        <v>0</v>
      </c>
      <c r="R46">
        <f>COUNTIFS(Absensi!$D44:$ND44,"CS",Absensi!$D$2:$ND$2,R$6)</f>
        <v>0</v>
      </c>
      <c r="S46">
        <f>COUNTIFS(Absensi!$D44:$ND44,"CS",Absensi!$D$2:$ND$2,S$6)</f>
        <v>1</v>
      </c>
      <c r="T46">
        <f>COUNTIFS(Absensi!$D44:$ND44,"CS",Absensi!$D$2:$ND$2,T$6)</f>
        <v>0</v>
      </c>
      <c r="U46">
        <f>COUNTIFS(Absensi!$D44:$ND44,"CS",Absensi!$D$2:$ND$2,U$6)</f>
        <v>0</v>
      </c>
      <c r="V46">
        <f>COUNTIFS(Absensi!$D44:$ND44,"CS",Absensi!$D$2:$ND$2,V$6)</f>
        <v>0</v>
      </c>
      <c r="W46">
        <f>COUNTIFS(Absensi!$D44:$ND44,"CS",Absensi!$D$2:$ND$2,W$6)</f>
        <v>0</v>
      </c>
      <c r="X46">
        <f>COUNTIFS(Absensi!$D44:$ND44,"CS",Absensi!$D$2:$ND$2,X$6)</f>
        <v>0</v>
      </c>
      <c r="Y46">
        <f>COUNTIFS(Absensi!$D44:$ND44,"CS",Absensi!$D$2:$ND$2,Y$6)</f>
        <v>0</v>
      </c>
      <c r="Z46">
        <f>COUNTIFS(Absensi!$D44:$ND44,"CS",Absensi!$D$2:$ND$2,Z$6)</f>
        <v>0</v>
      </c>
      <c r="AA46">
        <f>COUNTIFS(Absensi!$D44:$ND44,"CS",Absensi!$D$2:$ND$2,AA$6)</f>
        <v>0</v>
      </c>
      <c r="AB46">
        <f>COUNTIFS(Absensi!$D44:$ND44,"CS",Absensi!$D$2:$ND$2,AB$6)</f>
        <v>0</v>
      </c>
      <c r="AC46">
        <f t="shared" si="2"/>
        <v>12</v>
      </c>
      <c r="AD46">
        <f t="shared" si="3"/>
        <v>12</v>
      </c>
      <c r="AE46">
        <f t="shared" si="4"/>
        <v>9.5</v>
      </c>
      <c r="AF46">
        <f t="shared" si="5"/>
        <v>9.5</v>
      </c>
      <c r="AG46">
        <f t="shared" si="6"/>
        <v>9.5</v>
      </c>
      <c r="AH46">
        <f t="shared" si="7"/>
        <v>9.5</v>
      </c>
      <c r="AI46">
        <f t="shared" si="8"/>
        <v>9.5</v>
      </c>
      <c r="AJ46">
        <f t="shared" si="9"/>
        <v>8.5</v>
      </c>
      <c r="AK46">
        <f t="shared" si="10"/>
        <v>8.5</v>
      </c>
      <c r="AL46">
        <f t="shared" si="11"/>
        <v>8.5</v>
      </c>
      <c r="AM46">
        <f t="shared" si="12"/>
        <v>8.5</v>
      </c>
      <c r="AN46">
        <f t="shared" si="13"/>
        <v>8.5</v>
      </c>
    </row>
    <row r="47" spans="1:40" x14ac:dyDescent="0.25">
      <c r="A47" s="26">
        <v>41</v>
      </c>
      <c r="B47" s="27" t="str">
        <f>Absensi!B45</f>
        <v>Gudang A</v>
      </c>
      <c r="C47" s="27" t="str">
        <f>Rekap!C47</f>
        <v>Fachrial Akbar</v>
      </c>
      <c r="D47" s="46" t="str">
        <f t="shared" si="1"/>
        <v>Gudang AFachrial Akbar</v>
      </c>
      <c r="E47">
        <f>COUNTIFS(Absensi!$D45:$ND45,"C",Absensi!$D$2:$ND$2,E$6)</f>
        <v>0</v>
      </c>
      <c r="F47">
        <f>COUNTIFS(Absensi!$D45:$ND45,"C",Absensi!$D$2:$ND$2,F$6)</f>
        <v>0</v>
      </c>
      <c r="G47">
        <f>COUNTIFS(Absensi!$D45:$ND45,"C",Absensi!$D$2:$ND$2,G$6)</f>
        <v>0</v>
      </c>
      <c r="H47">
        <f>COUNTIFS(Absensi!$D45:$ND45,"C",Absensi!$D$2:$ND$2,H$6)</f>
        <v>0</v>
      </c>
      <c r="I47">
        <f>COUNTIFS(Absensi!$D45:$ND45,"C",Absensi!$D$2:$ND$2,I$6)</f>
        <v>0</v>
      </c>
      <c r="J47">
        <f>COUNTIFS(Absensi!$D45:$ND45,"C",Absensi!$D$2:$ND$2,J$6)</f>
        <v>0</v>
      </c>
      <c r="K47">
        <f>COUNTIFS(Absensi!$D45:$ND45,"C",Absensi!$D$2:$ND$2,K$6)</f>
        <v>0</v>
      </c>
      <c r="L47">
        <f>COUNTIFS(Absensi!$D45:$ND45,"C",Absensi!$D$2:$ND$2,L$6)</f>
        <v>0</v>
      </c>
      <c r="M47">
        <f>COUNTIFS(Absensi!$D45:$ND45,"C",Absensi!$D$2:$ND$2,M$6)</f>
        <v>0</v>
      </c>
      <c r="N47">
        <f>COUNTIFS(Absensi!$D45:$ND45,"C",Absensi!$D$2:$ND$2,N$6)</f>
        <v>0</v>
      </c>
      <c r="O47">
        <f>COUNTIFS(Absensi!$D45:$ND45,"C",Absensi!$D$2:$ND$2,O$6)</f>
        <v>0</v>
      </c>
      <c r="P47">
        <f>COUNTIFS(Absensi!$D45:$ND45,"C",Absensi!$D$2:$ND$2,P$6)</f>
        <v>0</v>
      </c>
      <c r="Q47">
        <f>COUNTIFS(Absensi!$D45:$ND45,"CS",Absensi!$D$2:$ND$2,Q$6)</f>
        <v>0</v>
      </c>
      <c r="R47">
        <f>COUNTIFS(Absensi!$D45:$ND45,"CS",Absensi!$D$2:$ND$2,R$6)</f>
        <v>0</v>
      </c>
      <c r="S47">
        <f>COUNTIFS(Absensi!$D45:$ND45,"CS",Absensi!$D$2:$ND$2,S$6)</f>
        <v>0</v>
      </c>
      <c r="T47">
        <f>COUNTIFS(Absensi!$D45:$ND45,"CS",Absensi!$D$2:$ND$2,T$6)</f>
        <v>0</v>
      </c>
      <c r="U47">
        <f>COUNTIFS(Absensi!$D45:$ND45,"CS",Absensi!$D$2:$ND$2,U$6)</f>
        <v>0</v>
      </c>
      <c r="V47">
        <f>COUNTIFS(Absensi!$D45:$ND45,"CS",Absensi!$D$2:$ND$2,V$6)</f>
        <v>0</v>
      </c>
      <c r="W47">
        <f>COUNTIFS(Absensi!$D45:$ND45,"CS",Absensi!$D$2:$ND$2,W$6)</f>
        <v>0</v>
      </c>
      <c r="X47">
        <f>COUNTIFS(Absensi!$D45:$ND45,"CS",Absensi!$D$2:$ND$2,X$6)</f>
        <v>0</v>
      </c>
      <c r="Y47">
        <f>COUNTIFS(Absensi!$D45:$ND45,"CS",Absensi!$D$2:$ND$2,Y$6)</f>
        <v>0</v>
      </c>
      <c r="Z47">
        <f>COUNTIFS(Absensi!$D45:$ND45,"CS",Absensi!$D$2:$ND$2,Z$6)</f>
        <v>0</v>
      </c>
      <c r="AA47">
        <f>COUNTIFS(Absensi!$D45:$ND45,"CS",Absensi!$D$2:$ND$2,AA$6)</f>
        <v>0</v>
      </c>
      <c r="AB47">
        <f>COUNTIFS(Absensi!$D45:$ND45,"CS",Absensi!$D$2:$ND$2,AB$6)</f>
        <v>0</v>
      </c>
      <c r="AC47">
        <f t="shared" si="2"/>
        <v>12</v>
      </c>
      <c r="AD47">
        <f t="shared" si="3"/>
        <v>12</v>
      </c>
      <c r="AE47">
        <f t="shared" si="4"/>
        <v>12</v>
      </c>
      <c r="AF47">
        <f t="shared" si="5"/>
        <v>12</v>
      </c>
      <c r="AG47">
        <f t="shared" si="6"/>
        <v>12</v>
      </c>
      <c r="AH47">
        <f t="shared" si="7"/>
        <v>12</v>
      </c>
      <c r="AI47">
        <f t="shared" si="8"/>
        <v>12</v>
      </c>
      <c r="AJ47">
        <f t="shared" si="9"/>
        <v>12</v>
      </c>
      <c r="AK47">
        <f t="shared" si="10"/>
        <v>12</v>
      </c>
      <c r="AL47">
        <f t="shared" si="11"/>
        <v>12</v>
      </c>
      <c r="AM47">
        <f t="shared" si="12"/>
        <v>12</v>
      </c>
      <c r="AN47">
        <f t="shared" si="13"/>
        <v>12</v>
      </c>
    </row>
    <row r="48" spans="1:40" ht="30" x14ac:dyDescent="0.25">
      <c r="A48" s="26">
        <v>42</v>
      </c>
      <c r="B48" s="27" t="str">
        <f>Absensi!B46</f>
        <v>Gudang A</v>
      </c>
      <c r="C48" s="27" t="str">
        <f>Rekap!C48</f>
        <v>Daffa Marcel Alfarras</v>
      </c>
      <c r="D48" s="46" t="str">
        <f t="shared" si="1"/>
        <v>Gudang ADaffa Marcel Alfarras</v>
      </c>
      <c r="E48">
        <f>COUNTIFS(Absensi!$D46:$ND46,"C",Absensi!$D$2:$ND$2,E$6)</f>
        <v>0</v>
      </c>
      <c r="F48">
        <f>COUNTIFS(Absensi!$D46:$ND46,"C",Absensi!$D$2:$ND$2,F$6)</f>
        <v>0</v>
      </c>
      <c r="G48">
        <f>COUNTIFS(Absensi!$D46:$ND46,"C",Absensi!$D$2:$ND$2,G$6)</f>
        <v>3</v>
      </c>
      <c r="H48">
        <f>COUNTIFS(Absensi!$D46:$ND46,"C",Absensi!$D$2:$ND$2,H$6)</f>
        <v>0</v>
      </c>
      <c r="I48">
        <f>COUNTIFS(Absensi!$D46:$ND46,"C",Absensi!$D$2:$ND$2,I$6)</f>
        <v>0</v>
      </c>
      <c r="J48">
        <f>COUNTIFS(Absensi!$D46:$ND46,"C",Absensi!$D$2:$ND$2,J$6)</f>
        <v>0</v>
      </c>
      <c r="K48">
        <f>COUNTIFS(Absensi!$D46:$ND46,"C",Absensi!$D$2:$ND$2,K$6)</f>
        <v>0</v>
      </c>
      <c r="L48">
        <f>COUNTIFS(Absensi!$D46:$ND46,"C",Absensi!$D$2:$ND$2,L$6)</f>
        <v>0</v>
      </c>
      <c r="M48">
        <f>COUNTIFS(Absensi!$D46:$ND46,"C",Absensi!$D$2:$ND$2,M$6)</f>
        <v>0</v>
      </c>
      <c r="N48">
        <f>COUNTIFS(Absensi!$D46:$ND46,"C",Absensi!$D$2:$ND$2,N$6)</f>
        <v>0</v>
      </c>
      <c r="O48">
        <f>COUNTIFS(Absensi!$D46:$ND46,"C",Absensi!$D$2:$ND$2,O$6)</f>
        <v>0</v>
      </c>
      <c r="P48">
        <f>COUNTIFS(Absensi!$D46:$ND46,"C",Absensi!$D$2:$ND$2,P$6)</f>
        <v>0</v>
      </c>
      <c r="Q48">
        <f>COUNTIFS(Absensi!$D46:$ND46,"CS",Absensi!$D$2:$ND$2,Q$6)</f>
        <v>0</v>
      </c>
      <c r="R48">
        <f>COUNTIFS(Absensi!$D46:$ND46,"CS",Absensi!$D$2:$ND$2,R$6)</f>
        <v>0</v>
      </c>
      <c r="S48">
        <f>COUNTIFS(Absensi!$D46:$ND46,"CS",Absensi!$D$2:$ND$2,S$6)</f>
        <v>0</v>
      </c>
      <c r="T48">
        <f>COUNTIFS(Absensi!$D46:$ND46,"CS",Absensi!$D$2:$ND$2,T$6)</f>
        <v>0</v>
      </c>
      <c r="U48">
        <f>COUNTIFS(Absensi!$D46:$ND46,"CS",Absensi!$D$2:$ND$2,U$6)</f>
        <v>0</v>
      </c>
      <c r="V48">
        <f>COUNTIFS(Absensi!$D46:$ND46,"CS",Absensi!$D$2:$ND$2,V$6)</f>
        <v>0</v>
      </c>
      <c r="W48">
        <f>COUNTIFS(Absensi!$D46:$ND46,"CS",Absensi!$D$2:$ND$2,W$6)</f>
        <v>0</v>
      </c>
      <c r="X48">
        <f>COUNTIFS(Absensi!$D46:$ND46,"CS",Absensi!$D$2:$ND$2,X$6)</f>
        <v>0</v>
      </c>
      <c r="Y48">
        <f>COUNTIFS(Absensi!$D46:$ND46,"CS",Absensi!$D$2:$ND$2,Y$6)</f>
        <v>0</v>
      </c>
      <c r="Z48">
        <f>COUNTIFS(Absensi!$D46:$ND46,"CS",Absensi!$D$2:$ND$2,Z$6)</f>
        <v>0</v>
      </c>
      <c r="AA48">
        <f>COUNTIFS(Absensi!$D46:$ND46,"CS",Absensi!$D$2:$ND$2,AA$6)</f>
        <v>0</v>
      </c>
      <c r="AB48">
        <f>COUNTIFS(Absensi!$D46:$ND46,"CS",Absensi!$D$2:$ND$2,AB$6)</f>
        <v>0</v>
      </c>
      <c r="AC48">
        <f t="shared" si="2"/>
        <v>12</v>
      </c>
      <c r="AD48">
        <f t="shared" si="3"/>
        <v>12</v>
      </c>
      <c r="AE48">
        <f t="shared" si="4"/>
        <v>9</v>
      </c>
      <c r="AF48">
        <f t="shared" si="5"/>
        <v>9</v>
      </c>
      <c r="AG48">
        <f t="shared" si="6"/>
        <v>9</v>
      </c>
      <c r="AH48">
        <f t="shared" si="7"/>
        <v>9</v>
      </c>
      <c r="AI48">
        <f t="shared" si="8"/>
        <v>9</v>
      </c>
      <c r="AJ48">
        <f t="shared" si="9"/>
        <v>9</v>
      </c>
      <c r="AK48">
        <f t="shared" si="10"/>
        <v>9</v>
      </c>
      <c r="AL48">
        <f t="shared" si="11"/>
        <v>9</v>
      </c>
      <c r="AM48">
        <f t="shared" si="12"/>
        <v>9</v>
      </c>
      <c r="AN48">
        <f t="shared" si="13"/>
        <v>9</v>
      </c>
    </row>
    <row r="49" spans="1:40" x14ac:dyDescent="0.25">
      <c r="A49" s="26">
        <v>43</v>
      </c>
      <c r="B49" s="27" t="str">
        <f>Absensi!B47</f>
        <v>Gudang A</v>
      </c>
      <c r="C49" s="27" t="str">
        <f>Rekap!C49</f>
        <v>Sesilia Karuna Ekaputra</v>
      </c>
      <c r="D49" s="46" t="str">
        <f t="shared" si="1"/>
        <v>Gudang ASesilia Karuna Ekaputra</v>
      </c>
      <c r="E49">
        <f>COUNTIFS(Absensi!$D47:$ND47,"C",Absensi!$D$2:$ND$2,E$6)</f>
        <v>0</v>
      </c>
      <c r="F49">
        <f>COUNTIFS(Absensi!$D47:$ND47,"C",Absensi!$D$2:$ND$2,F$6)</f>
        <v>0</v>
      </c>
      <c r="G49">
        <f>COUNTIFS(Absensi!$D47:$ND47,"C",Absensi!$D$2:$ND$2,G$6)</f>
        <v>0</v>
      </c>
      <c r="H49">
        <f>COUNTIFS(Absensi!$D47:$ND47,"C",Absensi!$D$2:$ND$2,H$6)</f>
        <v>0</v>
      </c>
      <c r="I49">
        <f>COUNTIFS(Absensi!$D47:$ND47,"C",Absensi!$D$2:$ND$2,I$6)</f>
        <v>0</v>
      </c>
      <c r="J49">
        <f>COUNTIFS(Absensi!$D47:$ND47,"C",Absensi!$D$2:$ND$2,J$6)</f>
        <v>0</v>
      </c>
      <c r="K49">
        <f>COUNTIFS(Absensi!$D47:$ND47,"C",Absensi!$D$2:$ND$2,K$6)</f>
        <v>0</v>
      </c>
      <c r="L49">
        <f>COUNTIFS(Absensi!$D47:$ND47,"C",Absensi!$D$2:$ND$2,L$6)</f>
        <v>0</v>
      </c>
      <c r="M49">
        <f>COUNTIFS(Absensi!$D47:$ND47,"C",Absensi!$D$2:$ND$2,M$6)</f>
        <v>0</v>
      </c>
      <c r="N49">
        <f>COUNTIFS(Absensi!$D47:$ND47,"C",Absensi!$D$2:$ND$2,N$6)</f>
        <v>0</v>
      </c>
      <c r="O49">
        <f>COUNTIFS(Absensi!$D47:$ND47,"C",Absensi!$D$2:$ND$2,O$6)</f>
        <v>0</v>
      </c>
      <c r="P49">
        <f>COUNTIFS(Absensi!$D47:$ND47,"C",Absensi!$D$2:$ND$2,P$6)</f>
        <v>0</v>
      </c>
      <c r="Q49">
        <f>COUNTIFS(Absensi!$D47:$ND47,"CS",Absensi!$D$2:$ND$2,Q$6)</f>
        <v>0</v>
      </c>
      <c r="R49">
        <f>COUNTIFS(Absensi!$D47:$ND47,"CS",Absensi!$D$2:$ND$2,R$6)</f>
        <v>0</v>
      </c>
      <c r="S49">
        <f>COUNTIFS(Absensi!$D47:$ND47,"CS",Absensi!$D$2:$ND$2,S$6)</f>
        <v>0</v>
      </c>
      <c r="T49">
        <f>COUNTIFS(Absensi!$D47:$ND47,"CS",Absensi!$D$2:$ND$2,T$6)</f>
        <v>0</v>
      </c>
      <c r="U49">
        <f>COUNTIFS(Absensi!$D47:$ND47,"CS",Absensi!$D$2:$ND$2,U$6)</f>
        <v>0</v>
      </c>
      <c r="V49">
        <f>COUNTIFS(Absensi!$D47:$ND47,"CS",Absensi!$D$2:$ND$2,V$6)</f>
        <v>0</v>
      </c>
      <c r="W49">
        <f>COUNTIFS(Absensi!$D47:$ND47,"CS",Absensi!$D$2:$ND$2,W$6)</f>
        <v>0</v>
      </c>
      <c r="X49">
        <f>COUNTIFS(Absensi!$D47:$ND47,"CS",Absensi!$D$2:$ND$2,X$6)</f>
        <v>0</v>
      </c>
      <c r="Y49">
        <f>COUNTIFS(Absensi!$D47:$ND47,"CS",Absensi!$D$2:$ND$2,Y$6)</f>
        <v>0</v>
      </c>
      <c r="Z49">
        <f>COUNTIFS(Absensi!$D47:$ND47,"CS",Absensi!$D$2:$ND$2,Z$6)</f>
        <v>0</v>
      </c>
      <c r="AA49">
        <f>COUNTIFS(Absensi!$D47:$ND47,"CS",Absensi!$D$2:$ND$2,AA$6)</f>
        <v>0</v>
      </c>
      <c r="AB49">
        <f>COUNTIFS(Absensi!$D47:$ND47,"CS",Absensi!$D$2:$ND$2,AB$6)</f>
        <v>0</v>
      </c>
      <c r="AC49">
        <f t="shared" si="2"/>
        <v>12</v>
      </c>
      <c r="AD49">
        <f t="shared" si="3"/>
        <v>12</v>
      </c>
      <c r="AE49">
        <f t="shared" si="4"/>
        <v>12</v>
      </c>
      <c r="AF49">
        <f t="shared" si="5"/>
        <v>12</v>
      </c>
      <c r="AG49">
        <f t="shared" si="6"/>
        <v>12</v>
      </c>
      <c r="AH49">
        <f t="shared" si="7"/>
        <v>12</v>
      </c>
      <c r="AI49">
        <f t="shared" si="8"/>
        <v>12</v>
      </c>
      <c r="AJ49">
        <f t="shared" si="9"/>
        <v>12</v>
      </c>
      <c r="AK49">
        <f t="shared" si="10"/>
        <v>12</v>
      </c>
      <c r="AL49">
        <f t="shared" si="11"/>
        <v>12</v>
      </c>
      <c r="AM49">
        <f t="shared" si="12"/>
        <v>12</v>
      </c>
      <c r="AN49">
        <f t="shared" si="13"/>
        <v>12</v>
      </c>
    </row>
    <row r="50" spans="1:40" ht="30" x14ac:dyDescent="0.25">
      <c r="A50" s="26">
        <v>44</v>
      </c>
      <c r="B50" s="27" t="str">
        <f>Absensi!B48</f>
        <v>Gudang A</v>
      </c>
      <c r="C50" s="27" t="str">
        <f>Rekap!C50</f>
        <v>Kenny Kiemas Ramdhana</v>
      </c>
      <c r="D50" s="46" t="str">
        <f t="shared" si="1"/>
        <v>Gudang AKenny Kiemas Ramdhana</v>
      </c>
      <c r="E50">
        <f>COUNTIFS(Absensi!$D48:$ND48,"C",Absensi!$D$2:$ND$2,E$6)</f>
        <v>0</v>
      </c>
      <c r="F50">
        <f>COUNTIFS(Absensi!$D48:$ND48,"C",Absensi!$D$2:$ND$2,F$6)</f>
        <v>0</v>
      </c>
      <c r="G50">
        <f>COUNTIFS(Absensi!$D48:$ND48,"C",Absensi!$D$2:$ND$2,G$6)</f>
        <v>0</v>
      </c>
      <c r="H50">
        <f>COUNTIFS(Absensi!$D48:$ND48,"C",Absensi!$D$2:$ND$2,H$6)</f>
        <v>0</v>
      </c>
      <c r="I50">
        <f>COUNTIFS(Absensi!$D48:$ND48,"C",Absensi!$D$2:$ND$2,I$6)</f>
        <v>0</v>
      </c>
      <c r="J50">
        <f>COUNTIFS(Absensi!$D48:$ND48,"C",Absensi!$D$2:$ND$2,J$6)</f>
        <v>0</v>
      </c>
      <c r="K50">
        <f>COUNTIFS(Absensi!$D48:$ND48,"C",Absensi!$D$2:$ND$2,K$6)</f>
        <v>0</v>
      </c>
      <c r="L50">
        <f>COUNTIFS(Absensi!$D48:$ND48,"C",Absensi!$D$2:$ND$2,L$6)</f>
        <v>0</v>
      </c>
      <c r="M50">
        <f>COUNTIFS(Absensi!$D48:$ND48,"C",Absensi!$D$2:$ND$2,M$6)</f>
        <v>0</v>
      </c>
      <c r="N50">
        <f>COUNTIFS(Absensi!$D48:$ND48,"C",Absensi!$D$2:$ND$2,N$6)</f>
        <v>0</v>
      </c>
      <c r="O50">
        <f>COUNTIFS(Absensi!$D48:$ND48,"C",Absensi!$D$2:$ND$2,O$6)</f>
        <v>0</v>
      </c>
      <c r="P50">
        <f>COUNTIFS(Absensi!$D48:$ND48,"C",Absensi!$D$2:$ND$2,P$6)</f>
        <v>0</v>
      </c>
      <c r="Q50">
        <f>COUNTIFS(Absensi!$D48:$ND48,"CS",Absensi!$D$2:$ND$2,Q$6)</f>
        <v>0</v>
      </c>
      <c r="R50">
        <f>COUNTIFS(Absensi!$D48:$ND48,"CS",Absensi!$D$2:$ND$2,R$6)</f>
        <v>0</v>
      </c>
      <c r="S50">
        <f>COUNTIFS(Absensi!$D48:$ND48,"CS",Absensi!$D$2:$ND$2,S$6)</f>
        <v>0</v>
      </c>
      <c r="T50">
        <f>COUNTIFS(Absensi!$D48:$ND48,"CS",Absensi!$D$2:$ND$2,T$6)</f>
        <v>0</v>
      </c>
      <c r="U50">
        <f>COUNTIFS(Absensi!$D48:$ND48,"CS",Absensi!$D$2:$ND$2,U$6)</f>
        <v>0</v>
      </c>
      <c r="V50">
        <f>COUNTIFS(Absensi!$D48:$ND48,"CS",Absensi!$D$2:$ND$2,V$6)</f>
        <v>0</v>
      </c>
      <c r="W50">
        <f>COUNTIFS(Absensi!$D48:$ND48,"CS",Absensi!$D$2:$ND$2,W$6)</f>
        <v>0</v>
      </c>
      <c r="X50">
        <f>COUNTIFS(Absensi!$D48:$ND48,"CS",Absensi!$D$2:$ND$2,X$6)</f>
        <v>0</v>
      </c>
      <c r="Y50">
        <f>COUNTIFS(Absensi!$D48:$ND48,"CS",Absensi!$D$2:$ND$2,Y$6)</f>
        <v>0</v>
      </c>
      <c r="Z50">
        <f>COUNTIFS(Absensi!$D48:$ND48,"CS",Absensi!$D$2:$ND$2,Z$6)</f>
        <v>0</v>
      </c>
      <c r="AA50">
        <f>COUNTIFS(Absensi!$D48:$ND48,"CS",Absensi!$D$2:$ND$2,AA$6)</f>
        <v>0</v>
      </c>
      <c r="AB50">
        <f>COUNTIFS(Absensi!$D48:$ND48,"CS",Absensi!$D$2:$ND$2,AB$6)</f>
        <v>0</v>
      </c>
      <c r="AC50">
        <f t="shared" si="2"/>
        <v>12</v>
      </c>
      <c r="AD50">
        <f t="shared" si="3"/>
        <v>12</v>
      </c>
      <c r="AE50">
        <f t="shared" si="4"/>
        <v>12</v>
      </c>
      <c r="AF50">
        <f t="shared" si="5"/>
        <v>12</v>
      </c>
      <c r="AG50">
        <f t="shared" si="6"/>
        <v>12</v>
      </c>
      <c r="AH50">
        <f t="shared" si="7"/>
        <v>12</v>
      </c>
      <c r="AI50">
        <f t="shared" si="8"/>
        <v>12</v>
      </c>
      <c r="AJ50">
        <f t="shared" si="9"/>
        <v>12</v>
      </c>
      <c r="AK50">
        <f t="shared" si="10"/>
        <v>12</v>
      </c>
      <c r="AL50">
        <f t="shared" si="11"/>
        <v>12</v>
      </c>
      <c r="AM50">
        <f t="shared" si="12"/>
        <v>12</v>
      </c>
      <c r="AN50">
        <f t="shared" si="13"/>
        <v>12</v>
      </c>
    </row>
    <row r="51" spans="1:40" x14ac:dyDescent="0.25">
      <c r="A51" s="26">
        <v>45</v>
      </c>
      <c r="B51" s="27" t="str">
        <f>Absensi!B49</f>
        <v>Gudang C</v>
      </c>
      <c r="C51" s="27" t="str">
        <f>Rekap!C51</f>
        <v>Andi Santanu</v>
      </c>
      <c r="D51" s="46" t="str">
        <f t="shared" si="1"/>
        <v>Gudang CAndi Santanu</v>
      </c>
      <c r="E51">
        <f>COUNTIFS(Absensi!$D49:$ND49,"C",Absensi!$D$2:$ND$2,E$6)</f>
        <v>0</v>
      </c>
      <c r="F51">
        <f>COUNTIFS(Absensi!$D49:$ND49,"C",Absensi!$D$2:$ND$2,F$6)</f>
        <v>0</v>
      </c>
      <c r="G51">
        <f>COUNTIFS(Absensi!$D49:$ND49,"C",Absensi!$D$2:$ND$2,G$6)</f>
        <v>3</v>
      </c>
      <c r="H51">
        <f>COUNTIFS(Absensi!$D49:$ND49,"C",Absensi!$D$2:$ND$2,H$6)</f>
        <v>0</v>
      </c>
      <c r="I51">
        <f>COUNTIFS(Absensi!$D49:$ND49,"C",Absensi!$D$2:$ND$2,I$6)</f>
        <v>0</v>
      </c>
      <c r="J51">
        <f>COUNTIFS(Absensi!$D49:$ND49,"C",Absensi!$D$2:$ND$2,J$6)</f>
        <v>0</v>
      </c>
      <c r="K51">
        <f>COUNTIFS(Absensi!$D49:$ND49,"C",Absensi!$D$2:$ND$2,K$6)</f>
        <v>0</v>
      </c>
      <c r="L51">
        <f>COUNTIFS(Absensi!$D49:$ND49,"C",Absensi!$D$2:$ND$2,L$6)</f>
        <v>0</v>
      </c>
      <c r="M51">
        <f>COUNTIFS(Absensi!$D49:$ND49,"C",Absensi!$D$2:$ND$2,M$6)</f>
        <v>0</v>
      </c>
      <c r="N51">
        <f>COUNTIFS(Absensi!$D49:$ND49,"C",Absensi!$D$2:$ND$2,N$6)</f>
        <v>0</v>
      </c>
      <c r="O51">
        <f>COUNTIFS(Absensi!$D49:$ND49,"C",Absensi!$D$2:$ND$2,O$6)</f>
        <v>0</v>
      </c>
      <c r="P51">
        <f>COUNTIFS(Absensi!$D49:$ND49,"C",Absensi!$D$2:$ND$2,P$6)</f>
        <v>0</v>
      </c>
      <c r="Q51">
        <f>COUNTIFS(Absensi!$D49:$ND49,"CS",Absensi!$D$2:$ND$2,Q$6)</f>
        <v>0</v>
      </c>
      <c r="R51">
        <f>COUNTIFS(Absensi!$D49:$ND49,"CS",Absensi!$D$2:$ND$2,R$6)</f>
        <v>0</v>
      </c>
      <c r="S51">
        <f>COUNTIFS(Absensi!$D49:$ND49,"CS",Absensi!$D$2:$ND$2,S$6)</f>
        <v>0</v>
      </c>
      <c r="T51">
        <f>COUNTIFS(Absensi!$D49:$ND49,"CS",Absensi!$D$2:$ND$2,T$6)</f>
        <v>0</v>
      </c>
      <c r="U51">
        <f>COUNTIFS(Absensi!$D49:$ND49,"CS",Absensi!$D$2:$ND$2,U$6)</f>
        <v>0</v>
      </c>
      <c r="V51">
        <f>COUNTIFS(Absensi!$D49:$ND49,"CS",Absensi!$D$2:$ND$2,V$6)</f>
        <v>0</v>
      </c>
      <c r="W51">
        <f>COUNTIFS(Absensi!$D49:$ND49,"CS",Absensi!$D$2:$ND$2,W$6)</f>
        <v>0</v>
      </c>
      <c r="X51">
        <f>COUNTIFS(Absensi!$D49:$ND49,"CS",Absensi!$D$2:$ND$2,X$6)</f>
        <v>0</v>
      </c>
      <c r="Y51">
        <f>COUNTIFS(Absensi!$D49:$ND49,"CS",Absensi!$D$2:$ND$2,Y$6)</f>
        <v>0</v>
      </c>
      <c r="Z51">
        <f>COUNTIFS(Absensi!$D49:$ND49,"CS",Absensi!$D$2:$ND$2,Z$6)</f>
        <v>0</v>
      </c>
      <c r="AA51">
        <f>COUNTIFS(Absensi!$D49:$ND49,"CS",Absensi!$D$2:$ND$2,AA$6)</f>
        <v>0</v>
      </c>
      <c r="AB51">
        <f>COUNTIFS(Absensi!$D49:$ND49,"CS",Absensi!$D$2:$ND$2,AB$6)</f>
        <v>0</v>
      </c>
      <c r="AC51">
        <f t="shared" si="2"/>
        <v>12</v>
      </c>
      <c r="AD51">
        <f t="shared" si="3"/>
        <v>12</v>
      </c>
      <c r="AE51">
        <f t="shared" si="4"/>
        <v>9</v>
      </c>
      <c r="AF51">
        <f t="shared" si="5"/>
        <v>9</v>
      </c>
      <c r="AG51">
        <f t="shared" si="6"/>
        <v>9</v>
      </c>
      <c r="AH51">
        <f t="shared" si="7"/>
        <v>9</v>
      </c>
      <c r="AI51">
        <f t="shared" si="8"/>
        <v>9</v>
      </c>
      <c r="AJ51">
        <f t="shared" si="9"/>
        <v>9</v>
      </c>
      <c r="AK51">
        <f t="shared" si="10"/>
        <v>9</v>
      </c>
      <c r="AL51">
        <f t="shared" si="11"/>
        <v>9</v>
      </c>
      <c r="AM51">
        <f t="shared" si="12"/>
        <v>9</v>
      </c>
      <c r="AN51">
        <f t="shared" si="13"/>
        <v>9</v>
      </c>
    </row>
    <row r="52" spans="1:40" x14ac:dyDescent="0.25">
      <c r="A52" s="26">
        <v>46</v>
      </c>
      <c r="B52" s="27" t="str">
        <f>Absensi!B50</f>
        <v>Gudang C</v>
      </c>
      <c r="C52" s="27" t="str">
        <f>Rekap!C52</f>
        <v>Aat Ahmad Hidayat</v>
      </c>
      <c r="D52" s="46" t="str">
        <f t="shared" si="1"/>
        <v>Gudang CAat Ahmad Hidayat</v>
      </c>
      <c r="E52">
        <f>COUNTIFS(Absensi!$D50:$ND50,"C",Absensi!$D$2:$ND$2,E$6)</f>
        <v>0</v>
      </c>
      <c r="F52">
        <f>COUNTIFS(Absensi!$D50:$ND50,"C",Absensi!$D$2:$ND$2,F$6)</f>
        <v>0</v>
      </c>
      <c r="G52">
        <f>COUNTIFS(Absensi!$D50:$ND50,"C",Absensi!$D$2:$ND$2,G$6)</f>
        <v>4</v>
      </c>
      <c r="H52">
        <f>COUNTIFS(Absensi!$D50:$ND50,"C",Absensi!$D$2:$ND$2,H$6)</f>
        <v>0</v>
      </c>
      <c r="I52">
        <f>COUNTIFS(Absensi!$D50:$ND50,"C",Absensi!$D$2:$ND$2,I$6)</f>
        <v>0</v>
      </c>
      <c r="J52">
        <f>COUNTIFS(Absensi!$D50:$ND50,"C",Absensi!$D$2:$ND$2,J$6)</f>
        <v>0</v>
      </c>
      <c r="K52">
        <f>COUNTIFS(Absensi!$D50:$ND50,"C",Absensi!$D$2:$ND$2,K$6)</f>
        <v>0</v>
      </c>
      <c r="L52">
        <f>COUNTIFS(Absensi!$D50:$ND50,"C",Absensi!$D$2:$ND$2,L$6)</f>
        <v>0</v>
      </c>
      <c r="M52">
        <f>COUNTIFS(Absensi!$D50:$ND50,"C",Absensi!$D$2:$ND$2,M$6)</f>
        <v>0</v>
      </c>
      <c r="N52">
        <f>COUNTIFS(Absensi!$D50:$ND50,"C",Absensi!$D$2:$ND$2,N$6)</f>
        <v>0</v>
      </c>
      <c r="O52">
        <f>COUNTIFS(Absensi!$D50:$ND50,"C",Absensi!$D$2:$ND$2,O$6)</f>
        <v>0</v>
      </c>
      <c r="P52">
        <f>COUNTIFS(Absensi!$D50:$ND50,"C",Absensi!$D$2:$ND$2,P$6)</f>
        <v>0</v>
      </c>
      <c r="Q52">
        <f>COUNTIFS(Absensi!$D50:$ND50,"CS",Absensi!$D$2:$ND$2,Q$6)</f>
        <v>0</v>
      </c>
      <c r="R52">
        <f>COUNTIFS(Absensi!$D50:$ND50,"CS",Absensi!$D$2:$ND$2,R$6)</f>
        <v>0</v>
      </c>
      <c r="S52">
        <f>COUNTIFS(Absensi!$D50:$ND50,"CS",Absensi!$D$2:$ND$2,S$6)</f>
        <v>0</v>
      </c>
      <c r="T52">
        <f>COUNTIFS(Absensi!$D50:$ND50,"CS",Absensi!$D$2:$ND$2,T$6)</f>
        <v>0</v>
      </c>
      <c r="U52">
        <f>COUNTIFS(Absensi!$D50:$ND50,"CS",Absensi!$D$2:$ND$2,U$6)</f>
        <v>0</v>
      </c>
      <c r="V52">
        <f>COUNTIFS(Absensi!$D50:$ND50,"CS",Absensi!$D$2:$ND$2,V$6)</f>
        <v>0</v>
      </c>
      <c r="W52">
        <f>COUNTIFS(Absensi!$D50:$ND50,"CS",Absensi!$D$2:$ND$2,W$6)</f>
        <v>0</v>
      </c>
      <c r="X52">
        <f>COUNTIFS(Absensi!$D50:$ND50,"CS",Absensi!$D$2:$ND$2,X$6)</f>
        <v>0</v>
      </c>
      <c r="Y52">
        <f>COUNTIFS(Absensi!$D50:$ND50,"CS",Absensi!$D$2:$ND$2,Y$6)</f>
        <v>0</v>
      </c>
      <c r="Z52">
        <f>COUNTIFS(Absensi!$D50:$ND50,"CS",Absensi!$D$2:$ND$2,Z$6)</f>
        <v>0</v>
      </c>
      <c r="AA52">
        <f>COUNTIFS(Absensi!$D50:$ND50,"CS",Absensi!$D$2:$ND$2,AA$6)</f>
        <v>0</v>
      </c>
      <c r="AB52">
        <f>COUNTIFS(Absensi!$D50:$ND50,"CS",Absensi!$D$2:$ND$2,AB$6)</f>
        <v>0</v>
      </c>
      <c r="AC52">
        <f t="shared" si="2"/>
        <v>12</v>
      </c>
      <c r="AD52">
        <f t="shared" si="3"/>
        <v>12</v>
      </c>
      <c r="AE52">
        <f t="shared" si="4"/>
        <v>8</v>
      </c>
      <c r="AF52">
        <f t="shared" si="5"/>
        <v>8</v>
      </c>
      <c r="AG52">
        <f t="shared" si="6"/>
        <v>8</v>
      </c>
      <c r="AH52">
        <f t="shared" si="7"/>
        <v>8</v>
      </c>
      <c r="AI52">
        <f t="shared" si="8"/>
        <v>8</v>
      </c>
      <c r="AJ52">
        <f t="shared" si="9"/>
        <v>8</v>
      </c>
      <c r="AK52">
        <f t="shared" si="10"/>
        <v>8</v>
      </c>
      <c r="AL52">
        <f t="shared" si="11"/>
        <v>8</v>
      </c>
      <c r="AM52">
        <f t="shared" si="12"/>
        <v>8</v>
      </c>
      <c r="AN52">
        <f t="shared" si="13"/>
        <v>8</v>
      </c>
    </row>
    <row r="53" spans="1:40" x14ac:dyDescent="0.25">
      <c r="A53" s="26">
        <v>47</v>
      </c>
      <c r="B53" s="27" t="str">
        <f>Absensi!B51</f>
        <v>Gudang C</v>
      </c>
      <c r="C53" s="27" t="str">
        <f>Rekap!C53</f>
        <v>Noval Handika</v>
      </c>
      <c r="D53" s="46" t="str">
        <f t="shared" si="1"/>
        <v>Gudang CNoval Handika</v>
      </c>
      <c r="E53">
        <f>COUNTIFS(Absensi!$D51:$ND51,"C",Absensi!$D$2:$ND$2,E$6)</f>
        <v>1</v>
      </c>
      <c r="F53">
        <f>COUNTIFS(Absensi!$D51:$ND51,"C",Absensi!$D$2:$ND$2,F$6)</f>
        <v>0</v>
      </c>
      <c r="G53">
        <f>COUNTIFS(Absensi!$D51:$ND51,"C",Absensi!$D$2:$ND$2,G$6)</f>
        <v>3</v>
      </c>
      <c r="H53">
        <f>COUNTIFS(Absensi!$D51:$ND51,"C",Absensi!$D$2:$ND$2,H$6)</f>
        <v>0</v>
      </c>
      <c r="I53">
        <f>COUNTIFS(Absensi!$D51:$ND51,"C",Absensi!$D$2:$ND$2,I$6)</f>
        <v>0</v>
      </c>
      <c r="J53">
        <f>COUNTIFS(Absensi!$D51:$ND51,"C",Absensi!$D$2:$ND$2,J$6)</f>
        <v>0</v>
      </c>
      <c r="K53">
        <f>COUNTIFS(Absensi!$D51:$ND51,"C",Absensi!$D$2:$ND$2,K$6)</f>
        <v>0</v>
      </c>
      <c r="L53">
        <f>COUNTIFS(Absensi!$D51:$ND51,"C",Absensi!$D$2:$ND$2,L$6)</f>
        <v>1</v>
      </c>
      <c r="M53">
        <f>COUNTIFS(Absensi!$D51:$ND51,"C",Absensi!$D$2:$ND$2,M$6)</f>
        <v>1</v>
      </c>
      <c r="N53">
        <f>COUNTIFS(Absensi!$D51:$ND51,"C",Absensi!$D$2:$ND$2,N$6)</f>
        <v>0</v>
      </c>
      <c r="O53">
        <f>COUNTIFS(Absensi!$D51:$ND51,"C",Absensi!$D$2:$ND$2,O$6)</f>
        <v>0</v>
      </c>
      <c r="P53">
        <f>COUNTIFS(Absensi!$D51:$ND51,"C",Absensi!$D$2:$ND$2,P$6)</f>
        <v>0</v>
      </c>
      <c r="Q53">
        <f>COUNTIFS(Absensi!$D51:$ND51,"CS",Absensi!$D$2:$ND$2,Q$6)</f>
        <v>0</v>
      </c>
      <c r="R53">
        <f>COUNTIFS(Absensi!$D51:$ND51,"CS",Absensi!$D$2:$ND$2,R$6)</f>
        <v>0</v>
      </c>
      <c r="S53">
        <f>COUNTIFS(Absensi!$D51:$ND51,"CS",Absensi!$D$2:$ND$2,S$6)</f>
        <v>0</v>
      </c>
      <c r="T53">
        <f>COUNTIFS(Absensi!$D51:$ND51,"CS",Absensi!$D$2:$ND$2,T$6)</f>
        <v>0</v>
      </c>
      <c r="U53">
        <f>COUNTIFS(Absensi!$D51:$ND51,"CS",Absensi!$D$2:$ND$2,U$6)</f>
        <v>0</v>
      </c>
      <c r="V53">
        <f>COUNTIFS(Absensi!$D51:$ND51,"CS",Absensi!$D$2:$ND$2,V$6)</f>
        <v>0</v>
      </c>
      <c r="W53">
        <f>COUNTIFS(Absensi!$D51:$ND51,"CS",Absensi!$D$2:$ND$2,W$6)</f>
        <v>0</v>
      </c>
      <c r="X53">
        <f>COUNTIFS(Absensi!$D51:$ND51,"CS",Absensi!$D$2:$ND$2,X$6)</f>
        <v>0</v>
      </c>
      <c r="Y53">
        <f>COUNTIFS(Absensi!$D51:$ND51,"CS",Absensi!$D$2:$ND$2,Y$6)</f>
        <v>0</v>
      </c>
      <c r="Z53">
        <f>COUNTIFS(Absensi!$D51:$ND51,"CS",Absensi!$D$2:$ND$2,Z$6)</f>
        <v>0</v>
      </c>
      <c r="AA53">
        <f>COUNTIFS(Absensi!$D51:$ND51,"CS",Absensi!$D$2:$ND$2,AA$6)</f>
        <v>0</v>
      </c>
      <c r="AB53">
        <f>COUNTIFS(Absensi!$D51:$ND51,"CS",Absensi!$D$2:$ND$2,AB$6)</f>
        <v>0</v>
      </c>
      <c r="AC53">
        <f t="shared" si="2"/>
        <v>11</v>
      </c>
      <c r="AD53">
        <f t="shared" si="3"/>
        <v>11</v>
      </c>
      <c r="AE53">
        <f t="shared" si="4"/>
        <v>8</v>
      </c>
      <c r="AF53">
        <f t="shared" si="5"/>
        <v>8</v>
      </c>
      <c r="AG53">
        <f t="shared" si="6"/>
        <v>8</v>
      </c>
      <c r="AH53">
        <f t="shared" si="7"/>
        <v>8</v>
      </c>
      <c r="AI53">
        <f t="shared" si="8"/>
        <v>8</v>
      </c>
      <c r="AJ53">
        <f t="shared" si="9"/>
        <v>7</v>
      </c>
      <c r="AK53">
        <f t="shared" si="10"/>
        <v>6</v>
      </c>
      <c r="AL53">
        <f t="shared" si="11"/>
        <v>6</v>
      </c>
      <c r="AM53">
        <f t="shared" si="12"/>
        <v>6</v>
      </c>
      <c r="AN53">
        <f t="shared" si="13"/>
        <v>6</v>
      </c>
    </row>
    <row r="54" spans="1:40" x14ac:dyDescent="0.25">
      <c r="A54" s="26">
        <v>48</v>
      </c>
      <c r="B54" s="27" t="str">
        <f>Absensi!B52</f>
        <v>Gudang C</v>
      </c>
      <c r="C54" s="27" t="str">
        <f>Rekap!C54</f>
        <v>Muhammad Hopid</v>
      </c>
      <c r="D54" s="46" t="str">
        <f t="shared" si="1"/>
        <v>Gudang CMuhammad Hopid</v>
      </c>
      <c r="E54">
        <f>COUNTIFS(Absensi!$D52:$ND52,"C",Absensi!$D$2:$ND$2,E$6)</f>
        <v>1</v>
      </c>
      <c r="F54">
        <f>COUNTIFS(Absensi!$D52:$ND52,"C",Absensi!$D$2:$ND$2,F$6)</f>
        <v>2</v>
      </c>
      <c r="G54">
        <f>COUNTIFS(Absensi!$D52:$ND52,"C",Absensi!$D$2:$ND$2,G$6)</f>
        <v>3</v>
      </c>
      <c r="H54">
        <f>COUNTIFS(Absensi!$D52:$ND52,"C",Absensi!$D$2:$ND$2,H$6)</f>
        <v>0</v>
      </c>
      <c r="I54">
        <f>COUNTIFS(Absensi!$D52:$ND52,"C",Absensi!$D$2:$ND$2,I$6)</f>
        <v>1</v>
      </c>
      <c r="J54">
        <f>COUNTIFS(Absensi!$D52:$ND52,"C",Absensi!$D$2:$ND$2,J$6)</f>
        <v>0</v>
      </c>
      <c r="K54">
        <f>COUNTIFS(Absensi!$D52:$ND52,"C",Absensi!$D$2:$ND$2,K$6)</f>
        <v>1</v>
      </c>
      <c r="L54">
        <f>COUNTIFS(Absensi!$D52:$ND52,"C",Absensi!$D$2:$ND$2,L$6)</f>
        <v>2</v>
      </c>
      <c r="M54">
        <f>COUNTIFS(Absensi!$D52:$ND52,"C",Absensi!$D$2:$ND$2,M$6)</f>
        <v>0</v>
      </c>
      <c r="N54">
        <f>COUNTIFS(Absensi!$D52:$ND52,"C",Absensi!$D$2:$ND$2,N$6)</f>
        <v>0</v>
      </c>
      <c r="O54">
        <f>COUNTIFS(Absensi!$D52:$ND52,"C",Absensi!$D$2:$ND$2,O$6)</f>
        <v>0</v>
      </c>
      <c r="P54">
        <f>COUNTIFS(Absensi!$D52:$ND52,"C",Absensi!$D$2:$ND$2,P$6)</f>
        <v>0</v>
      </c>
      <c r="Q54">
        <f>COUNTIFS(Absensi!$D52:$ND52,"CS",Absensi!$D$2:$ND$2,Q$6)</f>
        <v>0</v>
      </c>
      <c r="R54">
        <f>COUNTIFS(Absensi!$D52:$ND52,"CS",Absensi!$D$2:$ND$2,R$6)</f>
        <v>0</v>
      </c>
      <c r="S54">
        <f>COUNTIFS(Absensi!$D52:$ND52,"CS",Absensi!$D$2:$ND$2,S$6)</f>
        <v>0</v>
      </c>
      <c r="T54">
        <f>COUNTIFS(Absensi!$D52:$ND52,"CS",Absensi!$D$2:$ND$2,T$6)</f>
        <v>0</v>
      </c>
      <c r="U54">
        <f>COUNTIFS(Absensi!$D52:$ND52,"CS",Absensi!$D$2:$ND$2,U$6)</f>
        <v>0</v>
      </c>
      <c r="V54">
        <f>COUNTIFS(Absensi!$D52:$ND52,"CS",Absensi!$D$2:$ND$2,V$6)</f>
        <v>0</v>
      </c>
      <c r="W54">
        <f>COUNTIFS(Absensi!$D52:$ND52,"CS",Absensi!$D$2:$ND$2,W$6)</f>
        <v>0</v>
      </c>
      <c r="X54">
        <f>COUNTIFS(Absensi!$D52:$ND52,"CS",Absensi!$D$2:$ND$2,X$6)</f>
        <v>0</v>
      </c>
      <c r="Y54">
        <f>COUNTIFS(Absensi!$D52:$ND52,"CS",Absensi!$D$2:$ND$2,Y$6)</f>
        <v>0</v>
      </c>
      <c r="Z54">
        <f>COUNTIFS(Absensi!$D52:$ND52,"CS",Absensi!$D$2:$ND$2,Z$6)</f>
        <v>0</v>
      </c>
      <c r="AA54">
        <f>COUNTIFS(Absensi!$D52:$ND52,"CS",Absensi!$D$2:$ND$2,AA$6)</f>
        <v>0</v>
      </c>
      <c r="AB54">
        <f>COUNTIFS(Absensi!$D52:$ND52,"CS",Absensi!$D$2:$ND$2,AB$6)</f>
        <v>0</v>
      </c>
      <c r="AC54">
        <f t="shared" si="2"/>
        <v>11</v>
      </c>
      <c r="AD54">
        <f t="shared" si="3"/>
        <v>9</v>
      </c>
      <c r="AE54">
        <f t="shared" si="4"/>
        <v>6</v>
      </c>
      <c r="AF54">
        <f t="shared" si="5"/>
        <v>6</v>
      </c>
      <c r="AG54">
        <f t="shared" si="6"/>
        <v>5</v>
      </c>
      <c r="AH54">
        <f t="shared" si="7"/>
        <v>5</v>
      </c>
      <c r="AI54">
        <f t="shared" si="8"/>
        <v>4</v>
      </c>
      <c r="AJ54">
        <f t="shared" si="9"/>
        <v>2</v>
      </c>
      <c r="AK54">
        <f t="shared" si="10"/>
        <v>2</v>
      </c>
      <c r="AL54">
        <f t="shared" si="11"/>
        <v>2</v>
      </c>
      <c r="AM54">
        <f t="shared" si="12"/>
        <v>2</v>
      </c>
      <c r="AN54">
        <f t="shared" si="13"/>
        <v>2</v>
      </c>
    </row>
    <row r="55" spans="1:40" x14ac:dyDescent="0.25">
      <c r="A55" s="26">
        <v>49</v>
      </c>
      <c r="B55" s="27" t="str">
        <f>Absensi!B53</f>
        <v>Gudang C</v>
      </c>
      <c r="C55" s="27" t="str">
        <f>Rekap!C55</f>
        <v>Taopik Hidayat</v>
      </c>
      <c r="D55" s="46" t="str">
        <f t="shared" si="1"/>
        <v>Gudang CTaopik Hidayat</v>
      </c>
      <c r="E55">
        <f>COUNTIFS(Absensi!$D53:$ND53,"C",Absensi!$D$2:$ND$2,E$6)</f>
        <v>0</v>
      </c>
      <c r="F55">
        <f>COUNTIFS(Absensi!$D53:$ND53,"C",Absensi!$D$2:$ND$2,F$6)</f>
        <v>0</v>
      </c>
      <c r="G55">
        <f>COUNTIFS(Absensi!$D53:$ND53,"C",Absensi!$D$2:$ND$2,G$6)</f>
        <v>3</v>
      </c>
      <c r="H55">
        <f>COUNTIFS(Absensi!$D53:$ND53,"C",Absensi!$D$2:$ND$2,H$6)</f>
        <v>0</v>
      </c>
      <c r="I55">
        <f>COUNTIFS(Absensi!$D53:$ND53,"C",Absensi!$D$2:$ND$2,I$6)</f>
        <v>0</v>
      </c>
      <c r="J55">
        <f>COUNTIFS(Absensi!$D53:$ND53,"C",Absensi!$D$2:$ND$2,J$6)</f>
        <v>3</v>
      </c>
      <c r="K55">
        <f>COUNTIFS(Absensi!$D53:$ND53,"C",Absensi!$D$2:$ND$2,K$6)</f>
        <v>2</v>
      </c>
      <c r="L55">
        <f>COUNTIFS(Absensi!$D53:$ND53,"C",Absensi!$D$2:$ND$2,L$6)</f>
        <v>0</v>
      </c>
      <c r="M55">
        <f>COUNTIFS(Absensi!$D53:$ND53,"C",Absensi!$D$2:$ND$2,M$6)</f>
        <v>0</v>
      </c>
      <c r="N55">
        <f>COUNTIFS(Absensi!$D53:$ND53,"C",Absensi!$D$2:$ND$2,N$6)</f>
        <v>0</v>
      </c>
      <c r="O55">
        <f>COUNTIFS(Absensi!$D53:$ND53,"C",Absensi!$D$2:$ND$2,O$6)</f>
        <v>0</v>
      </c>
      <c r="P55">
        <f>COUNTIFS(Absensi!$D53:$ND53,"C",Absensi!$D$2:$ND$2,P$6)</f>
        <v>0</v>
      </c>
      <c r="Q55">
        <f>COUNTIFS(Absensi!$D53:$ND53,"CS",Absensi!$D$2:$ND$2,Q$6)</f>
        <v>0</v>
      </c>
      <c r="R55">
        <f>COUNTIFS(Absensi!$D53:$ND53,"CS",Absensi!$D$2:$ND$2,R$6)</f>
        <v>0</v>
      </c>
      <c r="S55">
        <f>COUNTIFS(Absensi!$D53:$ND53,"CS",Absensi!$D$2:$ND$2,S$6)</f>
        <v>0</v>
      </c>
      <c r="T55">
        <f>COUNTIFS(Absensi!$D53:$ND53,"CS",Absensi!$D$2:$ND$2,T$6)</f>
        <v>0</v>
      </c>
      <c r="U55">
        <f>COUNTIFS(Absensi!$D53:$ND53,"CS",Absensi!$D$2:$ND$2,U$6)</f>
        <v>0</v>
      </c>
      <c r="V55">
        <f>COUNTIFS(Absensi!$D53:$ND53,"CS",Absensi!$D$2:$ND$2,V$6)</f>
        <v>0</v>
      </c>
      <c r="W55">
        <f>COUNTIFS(Absensi!$D53:$ND53,"CS",Absensi!$D$2:$ND$2,W$6)</f>
        <v>0</v>
      </c>
      <c r="X55">
        <f>COUNTIFS(Absensi!$D53:$ND53,"CS",Absensi!$D$2:$ND$2,X$6)</f>
        <v>0</v>
      </c>
      <c r="Y55">
        <f>COUNTIFS(Absensi!$D53:$ND53,"CS",Absensi!$D$2:$ND$2,Y$6)</f>
        <v>0</v>
      </c>
      <c r="Z55">
        <f>COUNTIFS(Absensi!$D53:$ND53,"CS",Absensi!$D$2:$ND$2,Z$6)</f>
        <v>0</v>
      </c>
      <c r="AA55">
        <f>COUNTIFS(Absensi!$D53:$ND53,"CS",Absensi!$D$2:$ND$2,AA$6)</f>
        <v>0</v>
      </c>
      <c r="AB55">
        <f>COUNTIFS(Absensi!$D53:$ND53,"CS",Absensi!$D$2:$ND$2,AB$6)</f>
        <v>0</v>
      </c>
      <c r="AC55">
        <f t="shared" si="2"/>
        <v>12</v>
      </c>
      <c r="AD55">
        <f t="shared" si="3"/>
        <v>12</v>
      </c>
      <c r="AE55">
        <f t="shared" si="4"/>
        <v>9</v>
      </c>
      <c r="AF55">
        <f t="shared" si="5"/>
        <v>9</v>
      </c>
      <c r="AG55">
        <f t="shared" si="6"/>
        <v>9</v>
      </c>
      <c r="AH55">
        <f t="shared" si="7"/>
        <v>6</v>
      </c>
      <c r="AI55">
        <f t="shared" si="8"/>
        <v>4</v>
      </c>
      <c r="AJ55">
        <f t="shared" si="9"/>
        <v>4</v>
      </c>
      <c r="AK55">
        <f t="shared" si="10"/>
        <v>4</v>
      </c>
      <c r="AL55">
        <f t="shared" si="11"/>
        <v>4</v>
      </c>
      <c r="AM55">
        <f t="shared" si="12"/>
        <v>4</v>
      </c>
      <c r="AN55">
        <f t="shared" si="13"/>
        <v>4</v>
      </c>
    </row>
    <row r="56" spans="1:40" x14ac:dyDescent="0.25">
      <c r="A56" s="26">
        <v>50</v>
      </c>
      <c r="B56" s="27" t="str">
        <f>Absensi!B54</f>
        <v>Gudang C</v>
      </c>
      <c r="C56" s="27" t="str">
        <f>Rekap!C56</f>
        <v>Iwan Kosasih</v>
      </c>
      <c r="D56" s="46" t="str">
        <f t="shared" si="1"/>
        <v>Gudang CIwan Kosasih</v>
      </c>
      <c r="E56">
        <f>COUNTIFS(Absensi!$D54:$ND54,"C",Absensi!$D$2:$ND$2,E$6)</f>
        <v>0</v>
      </c>
      <c r="F56">
        <f>COUNTIFS(Absensi!$D54:$ND54,"C",Absensi!$D$2:$ND$2,F$6)</f>
        <v>0</v>
      </c>
      <c r="G56">
        <f>COUNTIFS(Absensi!$D54:$ND54,"C",Absensi!$D$2:$ND$2,G$6)</f>
        <v>3</v>
      </c>
      <c r="H56">
        <f>COUNTIFS(Absensi!$D54:$ND54,"C",Absensi!$D$2:$ND$2,H$6)</f>
        <v>0</v>
      </c>
      <c r="I56">
        <f>COUNTIFS(Absensi!$D54:$ND54,"C",Absensi!$D$2:$ND$2,I$6)</f>
        <v>0</v>
      </c>
      <c r="J56">
        <f>COUNTIFS(Absensi!$D54:$ND54,"C",Absensi!$D$2:$ND$2,J$6)</f>
        <v>0</v>
      </c>
      <c r="K56">
        <f>COUNTIFS(Absensi!$D54:$ND54,"C",Absensi!$D$2:$ND$2,K$6)</f>
        <v>0</v>
      </c>
      <c r="L56">
        <f>COUNTIFS(Absensi!$D54:$ND54,"C",Absensi!$D$2:$ND$2,L$6)</f>
        <v>1</v>
      </c>
      <c r="M56">
        <f>COUNTIFS(Absensi!$D54:$ND54,"C",Absensi!$D$2:$ND$2,M$6)</f>
        <v>1</v>
      </c>
      <c r="N56">
        <f>COUNTIFS(Absensi!$D54:$ND54,"C",Absensi!$D$2:$ND$2,N$6)</f>
        <v>0</v>
      </c>
      <c r="O56">
        <f>COUNTIFS(Absensi!$D54:$ND54,"C",Absensi!$D$2:$ND$2,O$6)</f>
        <v>0</v>
      </c>
      <c r="P56">
        <f>COUNTIFS(Absensi!$D54:$ND54,"C",Absensi!$D$2:$ND$2,P$6)</f>
        <v>0</v>
      </c>
      <c r="Q56">
        <f>COUNTIFS(Absensi!$D54:$ND54,"CS",Absensi!$D$2:$ND$2,Q$6)</f>
        <v>0</v>
      </c>
      <c r="R56">
        <f>COUNTIFS(Absensi!$D54:$ND54,"CS",Absensi!$D$2:$ND$2,R$6)</f>
        <v>0</v>
      </c>
      <c r="S56">
        <f>COUNTIFS(Absensi!$D54:$ND54,"CS",Absensi!$D$2:$ND$2,S$6)</f>
        <v>0</v>
      </c>
      <c r="T56">
        <f>COUNTIFS(Absensi!$D54:$ND54,"CS",Absensi!$D$2:$ND$2,T$6)</f>
        <v>0</v>
      </c>
      <c r="U56">
        <f>COUNTIFS(Absensi!$D54:$ND54,"CS",Absensi!$D$2:$ND$2,U$6)</f>
        <v>0</v>
      </c>
      <c r="V56">
        <f>COUNTIFS(Absensi!$D54:$ND54,"CS",Absensi!$D$2:$ND$2,V$6)</f>
        <v>0</v>
      </c>
      <c r="W56">
        <f>COUNTIFS(Absensi!$D54:$ND54,"CS",Absensi!$D$2:$ND$2,W$6)</f>
        <v>0</v>
      </c>
      <c r="X56">
        <f>COUNTIFS(Absensi!$D54:$ND54,"CS",Absensi!$D$2:$ND$2,X$6)</f>
        <v>0</v>
      </c>
      <c r="Y56">
        <f>COUNTIFS(Absensi!$D54:$ND54,"CS",Absensi!$D$2:$ND$2,Y$6)</f>
        <v>0</v>
      </c>
      <c r="Z56">
        <f>COUNTIFS(Absensi!$D54:$ND54,"CS",Absensi!$D$2:$ND$2,Z$6)</f>
        <v>0</v>
      </c>
      <c r="AA56">
        <f>COUNTIFS(Absensi!$D54:$ND54,"CS",Absensi!$D$2:$ND$2,AA$6)</f>
        <v>0</v>
      </c>
      <c r="AB56">
        <f>COUNTIFS(Absensi!$D54:$ND54,"CS",Absensi!$D$2:$ND$2,AB$6)</f>
        <v>0</v>
      </c>
      <c r="AC56">
        <f t="shared" si="2"/>
        <v>12</v>
      </c>
      <c r="AD56">
        <f t="shared" si="3"/>
        <v>12</v>
      </c>
      <c r="AE56">
        <f t="shared" si="4"/>
        <v>9</v>
      </c>
      <c r="AF56">
        <f t="shared" si="5"/>
        <v>9</v>
      </c>
      <c r="AG56">
        <f t="shared" si="6"/>
        <v>9</v>
      </c>
      <c r="AH56">
        <f t="shared" si="7"/>
        <v>9</v>
      </c>
      <c r="AI56">
        <f t="shared" si="8"/>
        <v>9</v>
      </c>
      <c r="AJ56">
        <f t="shared" si="9"/>
        <v>8</v>
      </c>
      <c r="AK56">
        <f t="shared" si="10"/>
        <v>7</v>
      </c>
      <c r="AL56">
        <f t="shared" si="11"/>
        <v>7</v>
      </c>
      <c r="AM56">
        <f t="shared" si="12"/>
        <v>7</v>
      </c>
      <c r="AN56">
        <f t="shared" si="13"/>
        <v>7</v>
      </c>
    </row>
    <row r="57" spans="1:40" x14ac:dyDescent="0.25">
      <c r="A57" s="26">
        <v>51</v>
      </c>
      <c r="B57" s="27" t="str">
        <f>Absensi!B55</f>
        <v>Gudang C</v>
      </c>
      <c r="C57" s="27" t="str">
        <f>Rekap!C57</f>
        <v>Hadidtio</v>
      </c>
      <c r="D57" s="46" t="str">
        <f t="shared" si="1"/>
        <v>Gudang CHadidtio</v>
      </c>
      <c r="E57">
        <f>COUNTIFS(Absensi!$D55:$ND55,"C",Absensi!$D$2:$ND$2,E$6)</f>
        <v>4</v>
      </c>
      <c r="F57">
        <f>COUNTIFS(Absensi!$D55:$ND55,"C",Absensi!$D$2:$ND$2,F$6)</f>
        <v>0</v>
      </c>
      <c r="G57">
        <f>COUNTIFS(Absensi!$D55:$ND55,"C",Absensi!$D$2:$ND$2,G$6)</f>
        <v>3</v>
      </c>
      <c r="H57">
        <f>COUNTIFS(Absensi!$D55:$ND55,"C",Absensi!$D$2:$ND$2,H$6)</f>
        <v>0</v>
      </c>
      <c r="I57">
        <f>COUNTIFS(Absensi!$D55:$ND55,"C",Absensi!$D$2:$ND$2,I$6)</f>
        <v>2</v>
      </c>
      <c r="J57">
        <f>COUNTIFS(Absensi!$D55:$ND55,"C",Absensi!$D$2:$ND$2,J$6)</f>
        <v>0</v>
      </c>
      <c r="K57">
        <f>COUNTIFS(Absensi!$D55:$ND55,"C",Absensi!$D$2:$ND$2,K$6)</f>
        <v>0</v>
      </c>
      <c r="L57">
        <f>COUNTIFS(Absensi!$D55:$ND55,"C",Absensi!$D$2:$ND$2,L$6)</f>
        <v>0</v>
      </c>
      <c r="M57">
        <f>COUNTIFS(Absensi!$D55:$ND55,"C",Absensi!$D$2:$ND$2,M$6)</f>
        <v>0</v>
      </c>
      <c r="N57">
        <f>COUNTIFS(Absensi!$D55:$ND55,"C",Absensi!$D$2:$ND$2,N$6)</f>
        <v>0</v>
      </c>
      <c r="O57">
        <f>COUNTIFS(Absensi!$D55:$ND55,"C",Absensi!$D$2:$ND$2,O$6)</f>
        <v>0</v>
      </c>
      <c r="P57">
        <f>COUNTIFS(Absensi!$D55:$ND55,"C",Absensi!$D$2:$ND$2,P$6)</f>
        <v>0</v>
      </c>
      <c r="Q57">
        <f>COUNTIFS(Absensi!$D55:$ND55,"CS",Absensi!$D$2:$ND$2,Q$6)</f>
        <v>0</v>
      </c>
      <c r="R57">
        <f>COUNTIFS(Absensi!$D55:$ND55,"CS",Absensi!$D$2:$ND$2,R$6)</f>
        <v>0</v>
      </c>
      <c r="S57">
        <f>COUNTIFS(Absensi!$D55:$ND55,"CS",Absensi!$D$2:$ND$2,S$6)</f>
        <v>0</v>
      </c>
      <c r="T57">
        <f>COUNTIFS(Absensi!$D55:$ND55,"CS",Absensi!$D$2:$ND$2,T$6)</f>
        <v>0</v>
      </c>
      <c r="U57">
        <f>COUNTIFS(Absensi!$D55:$ND55,"CS",Absensi!$D$2:$ND$2,U$6)</f>
        <v>0</v>
      </c>
      <c r="V57">
        <f>COUNTIFS(Absensi!$D55:$ND55,"CS",Absensi!$D$2:$ND$2,V$6)</f>
        <v>0</v>
      </c>
      <c r="W57">
        <f>COUNTIFS(Absensi!$D55:$ND55,"CS",Absensi!$D$2:$ND$2,W$6)</f>
        <v>0</v>
      </c>
      <c r="X57">
        <f>COUNTIFS(Absensi!$D55:$ND55,"CS",Absensi!$D$2:$ND$2,X$6)</f>
        <v>0</v>
      </c>
      <c r="Y57">
        <f>COUNTIFS(Absensi!$D55:$ND55,"CS",Absensi!$D$2:$ND$2,Y$6)</f>
        <v>0</v>
      </c>
      <c r="Z57">
        <f>COUNTIFS(Absensi!$D55:$ND55,"CS",Absensi!$D$2:$ND$2,Z$6)</f>
        <v>0</v>
      </c>
      <c r="AA57">
        <f>COUNTIFS(Absensi!$D55:$ND55,"CS",Absensi!$D$2:$ND$2,AA$6)</f>
        <v>0</v>
      </c>
      <c r="AB57">
        <f>COUNTIFS(Absensi!$D55:$ND55,"CS",Absensi!$D$2:$ND$2,AB$6)</f>
        <v>0</v>
      </c>
      <c r="AC57">
        <f t="shared" si="2"/>
        <v>8</v>
      </c>
      <c r="AD57">
        <f t="shared" si="3"/>
        <v>8</v>
      </c>
      <c r="AE57">
        <f t="shared" si="4"/>
        <v>5</v>
      </c>
      <c r="AF57">
        <f t="shared" si="5"/>
        <v>5</v>
      </c>
      <c r="AG57">
        <f t="shared" si="6"/>
        <v>3</v>
      </c>
      <c r="AH57">
        <f t="shared" si="7"/>
        <v>3</v>
      </c>
      <c r="AI57">
        <f t="shared" si="8"/>
        <v>3</v>
      </c>
      <c r="AJ57">
        <f t="shared" si="9"/>
        <v>3</v>
      </c>
      <c r="AK57">
        <f t="shared" si="10"/>
        <v>3</v>
      </c>
      <c r="AL57">
        <f t="shared" si="11"/>
        <v>3</v>
      </c>
      <c r="AM57">
        <f t="shared" si="12"/>
        <v>3</v>
      </c>
      <c r="AN57">
        <f t="shared" si="13"/>
        <v>3</v>
      </c>
    </row>
    <row r="58" spans="1:40" x14ac:dyDescent="0.25">
      <c r="A58" s="26">
        <v>52</v>
      </c>
      <c r="B58" s="27" t="str">
        <f>Absensi!B56</f>
        <v>Gudang C</v>
      </c>
      <c r="C58" s="27" t="str">
        <f>Rekap!C58</f>
        <v>Muhammad Yusuf</v>
      </c>
      <c r="D58" s="46" t="str">
        <f t="shared" si="1"/>
        <v>Gudang CMuhammad Yusuf</v>
      </c>
      <c r="E58">
        <f>COUNTIFS(Absensi!$D56:$ND56,"C",Absensi!$D$2:$ND$2,E$6)</f>
        <v>0</v>
      </c>
      <c r="F58">
        <f>COUNTIFS(Absensi!$D56:$ND56,"C",Absensi!$D$2:$ND$2,F$6)</f>
        <v>0</v>
      </c>
      <c r="G58">
        <f>COUNTIFS(Absensi!$D56:$ND56,"C",Absensi!$D$2:$ND$2,G$6)</f>
        <v>3</v>
      </c>
      <c r="H58">
        <f>COUNTIFS(Absensi!$D56:$ND56,"C",Absensi!$D$2:$ND$2,H$6)</f>
        <v>0</v>
      </c>
      <c r="I58">
        <f>COUNTIFS(Absensi!$D56:$ND56,"C",Absensi!$D$2:$ND$2,I$6)</f>
        <v>0</v>
      </c>
      <c r="J58">
        <f>COUNTIFS(Absensi!$D56:$ND56,"C",Absensi!$D$2:$ND$2,J$6)</f>
        <v>0</v>
      </c>
      <c r="K58">
        <f>COUNTIFS(Absensi!$D56:$ND56,"C",Absensi!$D$2:$ND$2,K$6)</f>
        <v>0</v>
      </c>
      <c r="L58">
        <f>COUNTIFS(Absensi!$D56:$ND56,"C",Absensi!$D$2:$ND$2,L$6)</f>
        <v>0</v>
      </c>
      <c r="M58">
        <f>COUNTIFS(Absensi!$D56:$ND56,"C",Absensi!$D$2:$ND$2,M$6)</f>
        <v>0</v>
      </c>
      <c r="N58">
        <f>COUNTIFS(Absensi!$D56:$ND56,"C",Absensi!$D$2:$ND$2,N$6)</f>
        <v>0</v>
      </c>
      <c r="O58">
        <f>COUNTIFS(Absensi!$D56:$ND56,"C",Absensi!$D$2:$ND$2,O$6)</f>
        <v>0</v>
      </c>
      <c r="P58">
        <f>COUNTIFS(Absensi!$D56:$ND56,"C",Absensi!$D$2:$ND$2,P$6)</f>
        <v>0</v>
      </c>
      <c r="Q58">
        <f>COUNTIFS(Absensi!$D56:$ND56,"CS",Absensi!$D$2:$ND$2,Q$6)</f>
        <v>0</v>
      </c>
      <c r="R58">
        <f>COUNTIFS(Absensi!$D56:$ND56,"CS",Absensi!$D$2:$ND$2,R$6)</f>
        <v>0</v>
      </c>
      <c r="S58">
        <f>COUNTIFS(Absensi!$D56:$ND56,"CS",Absensi!$D$2:$ND$2,S$6)</f>
        <v>0</v>
      </c>
      <c r="T58">
        <f>COUNTIFS(Absensi!$D56:$ND56,"CS",Absensi!$D$2:$ND$2,T$6)</f>
        <v>0</v>
      </c>
      <c r="U58">
        <f>COUNTIFS(Absensi!$D56:$ND56,"CS",Absensi!$D$2:$ND$2,U$6)</f>
        <v>0</v>
      </c>
      <c r="V58">
        <f>COUNTIFS(Absensi!$D56:$ND56,"CS",Absensi!$D$2:$ND$2,V$6)</f>
        <v>0</v>
      </c>
      <c r="W58">
        <f>COUNTIFS(Absensi!$D56:$ND56,"CS",Absensi!$D$2:$ND$2,W$6)</f>
        <v>0</v>
      </c>
      <c r="X58">
        <f>COUNTIFS(Absensi!$D56:$ND56,"CS",Absensi!$D$2:$ND$2,X$6)</f>
        <v>0</v>
      </c>
      <c r="Y58">
        <f>COUNTIFS(Absensi!$D56:$ND56,"CS",Absensi!$D$2:$ND$2,Y$6)</f>
        <v>0</v>
      </c>
      <c r="Z58">
        <f>COUNTIFS(Absensi!$D56:$ND56,"CS",Absensi!$D$2:$ND$2,Z$6)</f>
        <v>0</v>
      </c>
      <c r="AA58">
        <f>COUNTIFS(Absensi!$D56:$ND56,"CS",Absensi!$D$2:$ND$2,AA$6)</f>
        <v>0</v>
      </c>
      <c r="AB58">
        <f>COUNTIFS(Absensi!$D56:$ND56,"CS",Absensi!$D$2:$ND$2,AB$6)</f>
        <v>0</v>
      </c>
      <c r="AC58">
        <f t="shared" si="2"/>
        <v>12</v>
      </c>
      <c r="AD58">
        <f t="shared" si="3"/>
        <v>12</v>
      </c>
      <c r="AE58">
        <f t="shared" si="4"/>
        <v>9</v>
      </c>
      <c r="AF58">
        <f t="shared" si="5"/>
        <v>9</v>
      </c>
      <c r="AG58">
        <f t="shared" si="6"/>
        <v>9</v>
      </c>
      <c r="AH58">
        <f t="shared" si="7"/>
        <v>9</v>
      </c>
      <c r="AI58">
        <f t="shared" si="8"/>
        <v>9</v>
      </c>
      <c r="AJ58">
        <f t="shared" si="9"/>
        <v>9</v>
      </c>
      <c r="AK58">
        <f t="shared" si="10"/>
        <v>9</v>
      </c>
      <c r="AL58">
        <f t="shared" si="11"/>
        <v>9</v>
      </c>
      <c r="AM58">
        <f t="shared" si="12"/>
        <v>9</v>
      </c>
      <c r="AN58">
        <f t="shared" si="13"/>
        <v>9</v>
      </c>
    </row>
    <row r="59" spans="1:40" x14ac:dyDescent="0.25">
      <c r="A59" s="26">
        <v>53</v>
      </c>
      <c r="B59" s="27" t="str">
        <f>Absensi!B57</f>
        <v>Gudang C</v>
      </c>
      <c r="C59" s="27" t="str">
        <f>Rekap!C59</f>
        <v>Yustari Anggraeni</v>
      </c>
      <c r="D59" s="46" t="str">
        <f t="shared" si="1"/>
        <v>Gudang CYustari Anggraeni</v>
      </c>
      <c r="E59">
        <f>COUNTIFS(Absensi!$D57:$ND57,"C",Absensi!$D$2:$ND$2,E$6)</f>
        <v>0</v>
      </c>
      <c r="F59">
        <f>COUNTIFS(Absensi!$D57:$ND57,"C",Absensi!$D$2:$ND$2,F$6)</f>
        <v>0</v>
      </c>
      <c r="G59">
        <f>COUNTIFS(Absensi!$D57:$ND57,"C",Absensi!$D$2:$ND$2,G$6)</f>
        <v>2</v>
      </c>
      <c r="H59">
        <f>COUNTIFS(Absensi!$D57:$ND57,"C",Absensi!$D$2:$ND$2,H$6)</f>
        <v>0</v>
      </c>
      <c r="I59">
        <f>COUNTIFS(Absensi!$D57:$ND57,"C",Absensi!$D$2:$ND$2,I$6)</f>
        <v>0</v>
      </c>
      <c r="J59">
        <f>COUNTIFS(Absensi!$D57:$ND57,"C",Absensi!$D$2:$ND$2,J$6)</f>
        <v>0</v>
      </c>
      <c r="K59">
        <f>COUNTIFS(Absensi!$D57:$ND57,"C",Absensi!$D$2:$ND$2,K$6)</f>
        <v>0</v>
      </c>
      <c r="L59">
        <f>COUNTIFS(Absensi!$D57:$ND57,"C",Absensi!$D$2:$ND$2,L$6)</f>
        <v>0</v>
      </c>
      <c r="M59">
        <f>COUNTIFS(Absensi!$D57:$ND57,"C",Absensi!$D$2:$ND$2,M$6)</f>
        <v>0</v>
      </c>
      <c r="N59">
        <f>COUNTIFS(Absensi!$D57:$ND57,"C",Absensi!$D$2:$ND$2,N$6)</f>
        <v>0</v>
      </c>
      <c r="O59">
        <f>COUNTIFS(Absensi!$D57:$ND57,"C",Absensi!$D$2:$ND$2,O$6)</f>
        <v>0</v>
      </c>
      <c r="P59">
        <f>COUNTIFS(Absensi!$D57:$ND57,"C",Absensi!$D$2:$ND$2,P$6)</f>
        <v>0</v>
      </c>
      <c r="Q59">
        <f>COUNTIFS(Absensi!$D57:$ND57,"CS",Absensi!$D$2:$ND$2,Q$6)</f>
        <v>0</v>
      </c>
      <c r="R59">
        <f>COUNTIFS(Absensi!$D57:$ND57,"CS",Absensi!$D$2:$ND$2,R$6)</f>
        <v>0</v>
      </c>
      <c r="S59">
        <f>COUNTIFS(Absensi!$D57:$ND57,"CS",Absensi!$D$2:$ND$2,S$6)</f>
        <v>1</v>
      </c>
      <c r="T59">
        <f>COUNTIFS(Absensi!$D57:$ND57,"CS",Absensi!$D$2:$ND$2,T$6)</f>
        <v>0</v>
      </c>
      <c r="U59">
        <f>COUNTIFS(Absensi!$D57:$ND57,"CS",Absensi!$D$2:$ND$2,U$6)</f>
        <v>0</v>
      </c>
      <c r="V59">
        <f>COUNTIFS(Absensi!$D57:$ND57,"CS",Absensi!$D$2:$ND$2,V$6)</f>
        <v>0</v>
      </c>
      <c r="W59">
        <f>COUNTIFS(Absensi!$D57:$ND57,"CS",Absensi!$D$2:$ND$2,W$6)</f>
        <v>0</v>
      </c>
      <c r="X59">
        <f>COUNTIFS(Absensi!$D57:$ND57,"CS",Absensi!$D$2:$ND$2,X$6)</f>
        <v>0</v>
      </c>
      <c r="Y59">
        <f>COUNTIFS(Absensi!$D57:$ND57,"CS",Absensi!$D$2:$ND$2,Y$6)</f>
        <v>0</v>
      </c>
      <c r="Z59">
        <f>COUNTIFS(Absensi!$D57:$ND57,"CS",Absensi!$D$2:$ND$2,Z$6)</f>
        <v>0</v>
      </c>
      <c r="AA59">
        <f>COUNTIFS(Absensi!$D57:$ND57,"CS",Absensi!$D$2:$ND$2,AA$6)</f>
        <v>0</v>
      </c>
      <c r="AB59">
        <f>COUNTIFS(Absensi!$D57:$ND57,"CS",Absensi!$D$2:$ND$2,AB$6)</f>
        <v>0</v>
      </c>
      <c r="AC59">
        <f t="shared" si="2"/>
        <v>12</v>
      </c>
      <c r="AD59">
        <f t="shared" si="3"/>
        <v>12</v>
      </c>
      <c r="AE59">
        <f t="shared" si="4"/>
        <v>9.5</v>
      </c>
      <c r="AF59">
        <f t="shared" si="5"/>
        <v>9.5</v>
      </c>
      <c r="AG59">
        <f t="shared" si="6"/>
        <v>9.5</v>
      </c>
      <c r="AH59">
        <f t="shared" si="7"/>
        <v>9.5</v>
      </c>
      <c r="AI59">
        <f t="shared" si="8"/>
        <v>9.5</v>
      </c>
      <c r="AJ59">
        <f t="shared" si="9"/>
        <v>9.5</v>
      </c>
      <c r="AK59">
        <f t="shared" si="10"/>
        <v>9.5</v>
      </c>
      <c r="AL59">
        <f t="shared" si="11"/>
        <v>9.5</v>
      </c>
      <c r="AM59">
        <f t="shared" si="12"/>
        <v>9.5</v>
      </c>
      <c r="AN59">
        <f t="shared" si="13"/>
        <v>9.5</v>
      </c>
    </row>
    <row r="60" spans="1:40" x14ac:dyDescent="0.25">
      <c r="A60" s="26">
        <v>54</v>
      </c>
      <c r="B60" s="27" t="str">
        <f>Absensi!B58</f>
        <v>Gudang C</v>
      </c>
      <c r="C60" s="27" t="str">
        <f>Rekap!C60</f>
        <v>Dian Maulana</v>
      </c>
      <c r="D60" s="46" t="str">
        <f t="shared" si="1"/>
        <v>Gudang CDian Maulana</v>
      </c>
      <c r="E60">
        <f>COUNTIFS(Absensi!$D58:$ND58,"C",Absensi!$D$2:$ND$2,E$6)</f>
        <v>0</v>
      </c>
      <c r="F60">
        <f>COUNTIFS(Absensi!$D58:$ND58,"C",Absensi!$D$2:$ND$2,F$6)</f>
        <v>0</v>
      </c>
      <c r="G60">
        <f>COUNTIFS(Absensi!$D58:$ND58,"C",Absensi!$D$2:$ND$2,G$6)</f>
        <v>0</v>
      </c>
      <c r="H60">
        <f>COUNTIFS(Absensi!$D58:$ND58,"C",Absensi!$D$2:$ND$2,H$6)</f>
        <v>0</v>
      </c>
      <c r="I60">
        <f>COUNTIFS(Absensi!$D58:$ND58,"C",Absensi!$D$2:$ND$2,I$6)</f>
        <v>0</v>
      </c>
      <c r="J60">
        <f>COUNTIFS(Absensi!$D58:$ND58,"C",Absensi!$D$2:$ND$2,J$6)</f>
        <v>2</v>
      </c>
      <c r="K60">
        <f>COUNTIFS(Absensi!$D58:$ND58,"C",Absensi!$D$2:$ND$2,K$6)</f>
        <v>1</v>
      </c>
      <c r="L60">
        <f>COUNTIFS(Absensi!$D58:$ND58,"C",Absensi!$D$2:$ND$2,L$6)</f>
        <v>1</v>
      </c>
      <c r="M60">
        <f>COUNTIFS(Absensi!$D58:$ND58,"C",Absensi!$D$2:$ND$2,M$6)</f>
        <v>2</v>
      </c>
      <c r="N60">
        <f>COUNTIFS(Absensi!$D58:$ND58,"C",Absensi!$D$2:$ND$2,N$6)</f>
        <v>0</v>
      </c>
      <c r="O60">
        <f>COUNTIFS(Absensi!$D58:$ND58,"C",Absensi!$D$2:$ND$2,O$6)</f>
        <v>0</v>
      </c>
      <c r="P60">
        <f>COUNTIFS(Absensi!$D58:$ND58,"C",Absensi!$D$2:$ND$2,P$6)</f>
        <v>0</v>
      </c>
      <c r="Q60">
        <f>COUNTIFS(Absensi!$D58:$ND58,"CS",Absensi!$D$2:$ND$2,Q$6)</f>
        <v>0</v>
      </c>
      <c r="R60">
        <f>COUNTIFS(Absensi!$D58:$ND58,"CS",Absensi!$D$2:$ND$2,R$6)</f>
        <v>0</v>
      </c>
      <c r="S60">
        <f>COUNTIFS(Absensi!$D58:$ND58,"CS",Absensi!$D$2:$ND$2,S$6)</f>
        <v>0</v>
      </c>
      <c r="T60">
        <f>COUNTIFS(Absensi!$D58:$ND58,"CS",Absensi!$D$2:$ND$2,T$6)</f>
        <v>0</v>
      </c>
      <c r="U60">
        <f>COUNTIFS(Absensi!$D58:$ND58,"CS",Absensi!$D$2:$ND$2,U$6)</f>
        <v>0</v>
      </c>
      <c r="V60">
        <f>COUNTIFS(Absensi!$D58:$ND58,"CS",Absensi!$D$2:$ND$2,V$6)</f>
        <v>0</v>
      </c>
      <c r="W60">
        <f>COUNTIFS(Absensi!$D58:$ND58,"CS",Absensi!$D$2:$ND$2,W$6)</f>
        <v>0</v>
      </c>
      <c r="X60">
        <f>COUNTIFS(Absensi!$D58:$ND58,"CS",Absensi!$D$2:$ND$2,X$6)</f>
        <v>0</v>
      </c>
      <c r="Y60">
        <f>COUNTIFS(Absensi!$D58:$ND58,"CS",Absensi!$D$2:$ND$2,Y$6)</f>
        <v>0</v>
      </c>
      <c r="Z60">
        <f>COUNTIFS(Absensi!$D58:$ND58,"CS",Absensi!$D$2:$ND$2,Z$6)</f>
        <v>0</v>
      </c>
      <c r="AA60">
        <f>COUNTIFS(Absensi!$D58:$ND58,"CS",Absensi!$D$2:$ND$2,AA$6)</f>
        <v>0</v>
      </c>
      <c r="AB60">
        <f>COUNTIFS(Absensi!$D58:$ND58,"CS",Absensi!$D$2:$ND$2,AB$6)</f>
        <v>0</v>
      </c>
      <c r="AC60">
        <f t="shared" si="2"/>
        <v>12</v>
      </c>
      <c r="AD60">
        <f t="shared" si="3"/>
        <v>12</v>
      </c>
      <c r="AE60">
        <f t="shared" si="4"/>
        <v>12</v>
      </c>
      <c r="AF60">
        <f t="shared" si="5"/>
        <v>12</v>
      </c>
      <c r="AG60">
        <f t="shared" si="6"/>
        <v>12</v>
      </c>
      <c r="AH60">
        <f t="shared" si="7"/>
        <v>10</v>
      </c>
      <c r="AI60">
        <f t="shared" si="8"/>
        <v>9</v>
      </c>
      <c r="AJ60">
        <f t="shared" si="9"/>
        <v>8</v>
      </c>
      <c r="AK60">
        <f t="shared" si="10"/>
        <v>6</v>
      </c>
      <c r="AL60">
        <f t="shared" si="11"/>
        <v>6</v>
      </c>
      <c r="AM60">
        <f t="shared" si="12"/>
        <v>6</v>
      </c>
      <c r="AN60">
        <f t="shared" si="13"/>
        <v>6</v>
      </c>
    </row>
    <row r="61" spans="1:40" x14ac:dyDescent="0.25">
      <c r="A61" s="26">
        <v>55</v>
      </c>
      <c r="B61" s="27" t="str">
        <f>Absensi!B59</f>
        <v>Gudang C</v>
      </c>
      <c r="C61" s="27" t="str">
        <f>Rekap!C61</f>
        <v>Dimas Pratama</v>
      </c>
      <c r="D61" s="46" t="str">
        <f t="shared" si="1"/>
        <v>Gudang CDimas Pratama</v>
      </c>
      <c r="E61">
        <f>COUNTIFS(Absensi!$D59:$ND59,"C",Absensi!$D$2:$ND$2,E$6)</f>
        <v>0</v>
      </c>
      <c r="F61">
        <f>COUNTIFS(Absensi!$D59:$ND59,"C",Absensi!$D$2:$ND$2,F$6)</f>
        <v>0</v>
      </c>
      <c r="G61">
        <f>COUNTIFS(Absensi!$D59:$ND59,"C",Absensi!$D$2:$ND$2,G$6)</f>
        <v>0</v>
      </c>
      <c r="H61">
        <f>COUNTIFS(Absensi!$D59:$ND59,"C",Absensi!$D$2:$ND$2,H$6)</f>
        <v>0</v>
      </c>
      <c r="I61">
        <f>COUNTIFS(Absensi!$D59:$ND59,"C",Absensi!$D$2:$ND$2,I$6)</f>
        <v>0</v>
      </c>
      <c r="J61">
        <f>COUNTIFS(Absensi!$D59:$ND59,"C",Absensi!$D$2:$ND$2,J$6)</f>
        <v>2</v>
      </c>
      <c r="K61">
        <f>COUNTIFS(Absensi!$D59:$ND59,"C",Absensi!$D$2:$ND$2,K$6)</f>
        <v>0</v>
      </c>
      <c r="L61">
        <f>COUNTIFS(Absensi!$D59:$ND59,"C",Absensi!$D$2:$ND$2,L$6)</f>
        <v>0</v>
      </c>
      <c r="M61">
        <f>COUNTIFS(Absensi!$D59:$ND59,"C",Absensi!$D$2:$ND$2,M$6)</f>
        <v>0</v>
      </c>
      <c r="N61">
        <f>COUNTIFS(Absensi!$D59:$ND59,"C",Absensi!$D$2:$ND$2,N$6)</f>
        <v>0</v>
      </c>
      <c r="O61">
        <f>COUNTIFS(Absensi!$D59:$ND59,"C",Absensi!$D$2:$ND$2,O$6)</f>
        <v>0</v>
      </c>
      <c r="P61">
        <f>COUNTIFS(Absensi!$D59:$ND59,"C",Absensi!$D$2:$ND$2,P$6)</f>
        <v>0</v>
      </c>
      <c r="Q61">
        <f>COUNTIFS(Absensi!$D59:$ND59,"CS",Absensi!$D$2:$ND$2,Q$6)</f>
        <v>0</v>
      </c>
      <c r="R61">
        <f>COUNTIFS(Absensi!$D59:$ND59,"CS",Absensi!$D$2:$ND$2,R$6)</f>
        <v>0</v>
      </c>
      <c r="S61">
        <f>COUNTIFS(Absensi!$D59:$ND59,"CS",Absensi!$D$2:$ND$2,S$6)</f>
        <v>0</v>
      </c>
      <c r="T61">
        <f>COUNTIFS(Absensi!$D59:$ND59,"CS",Absensi!$D$2:$ND$2,T$6)</f>
        <v>0</v>
      </c>
      <c r="U61">
        <f>COUNTIFS(Absensi!$D59:$ND59,"CS",Absensi!$D$2:$ND$2,U$6)</f>
        <v>0</v>
      </c>
      <c r="V61">
        <f>COUNTIFS(Absensi!$D59:$ND59,"CS",Absensi!$D$2:$ND$2,V$6)</f>
        <v>0</v>
      </c>
      <c r="W61">
        <f>COUNTIFS(Absensi!$D59:$ND59,"CS",Absensi!$D$2:$ND$2,W$6)</f>
        <v>0</v>
      </c>
      <c r="X61">
        <f>COUNTIFS(Absensi!$D59:$ND59,"CS",Absensi!$D$2:$ND$2,X$6)</f>
        <v>0</v>
      </c>
      <c r="Y61">
        <f>COUNTIFS(Absensi!$D59:$ND59,"CS",Absensi!$D$2:$ND$2,Y$6)</f>
        <v>0</v>
      </c>
      <c r="Z61">
        <f>COUNTIFS(Absensi!$D59:$ND59,"CS",Absensi!$D$2:$ND$2,Z$6)</f>
        <v>0</v>
      </c>
      <c r="AA61">
        <f>COUNTIFS(Absensi!$D59:$ND59,"CS",Absensi!$D$2:$ND$2,AA$6)</f>
        <v>0</v>
      </c>
      <c r="AB61">
        <f>COUNTIFS(Absensi!$D59:$ND59,"CS",Absensi!$D$2:$ND$2,AB$6)</f>
        <v>0</v>
      </c>
      <c r="AC61">
        <f t="shared" si="2"/>
        <v>12</v>
      </c>
      <c r="AD61">
        <f t="shared" si="3"/>
        <v>12</v>
      </c>
      <c r="AE61">
        <f t="shared" si="4"/>
        <v>12</v>
      </c>
      <c r="AF61">
        <f t="shared" si="5"/>
        <v>12</v>
      </c>
      <c r="AG61">
        <f t="shared" si="6"/>
        <v>12</v>
      </c>
      <c r="AH61">
        <f t="shared" si="7"/>
        <v>10</v>
      </c>
      <c r="AI61">
        <f t="shared" si="8"/>
        <v>10</v>
      </c>
      <c r="AJ61">
        <f t="shared" si="9"/>
        <v>10</v>
      </c>
      <c r="AK61">
        <f t="shared" si="10"/>
        <v>10</v>
      </c>
      <c r="AL61">
        <f t="shared" si="11"/>
        <v>10</v>
      </c>
      <c r="AM61">
        <f t="shared" si="12"/>
        <v>10</v>
      </c>
      <c r="AN61">
        <f t="shared" si="13"/>
        <v>10</v>
      </c>
    </row>
    <row r="62" spans="1:40" x14ac:dyDescent="0.25">
      <c r="A62" s="26">
        <v>56</v>
      </c>
      <c r="B62" s="27" t="str">
        <f>Absensi!B60</f>
        <v>Gudang C</v>
      </c>
      <c r="C62" s="27" t="str">
        <f>Rekap!C62</f>
        <v>M. Rifqi Fauzan</v>
      </c>
      <c r="D62" s="46" t="str">
        <f t="shared" si="1"/>
        <v>Gudang CM. Rifqi Fauzan</v>
      </c>
      <c r="E62">
        <f>COUNTIFS(Absensi!$D60:$ND60,"C",Absensi!$D$2:$ND$2,E$6)</f>
        <v>0</v>
      </c>
      <c r="F62">
        <f>COUNTIFS(Absensi!$D60:$ND60,"C",Absensi!$D$2:$ND$2,F$6)</f>
        <v>0</v>
      </c>
      <c r="G62">
        <f>COUNTIFS(Absensi!$D60:$ND60,"C",Absensi!$D$2:$ND$2,G$6)</f>
        <v>0</v>
      </c>
      <c r="H62">
        <f>COUNTIFS(Absensi!$D60:$ND60,"C",Absensi!$D$2:$ND$2,H$6)</f>
        <v>0</v>
      </c>
      <c r="I62">
        <f>COUNTIFS(Absensi!$D60:$ND60,"C",Absensi!$D$2:$ND$2,I$6)</f>
        <v>0</v>
      </c>
      <c r="J62">
        <f>COUNTIFS(Absensi!$D60:$ND60,"C",Absensi!$D$2:$ND$2,J$6)</f>
        <v>0</v>
      </c>
      <c r="K62">
        <f>COUNTIFS(Absensi!$D60:$ND60,"C",Absensi!$D$2:$ND$2,K$6)</f>
        <v>1</v>
      </c>
      <c r="L62">
        <f>COUNTIFS(Absensi!$D60:$ND60,"C",Absensi!$D$2:$ND$2,L$6)</f>
        <v>1</v>
      </c>
      <c r="M62">
        <f>COUNTIFS(Absensi!$D60:$ND60,"C",Absensi!$D$2:$ND$2,M$6)</f>
        <v>0</v>
      </c>
      <c r="N62">
        <f>COUNTIFS(Absensi!$D60:$ND60,"C",Absensi!$D$2:$ND$2,N$6)</f>
        <v>0</v>
      </c>
      <c r="O62">
        <f>COUNTIFS(Absensi!$D60:$ND60,"C",Absensi!$D$2:$ND$2,O$6)</f>
        <v>0</v>
      </c>
      <c r="P62">
        <f>COUNTIFS(Absensi!$D60:$ND60,"C",Absensi!$D$2:$ND$2,P$6)</f>
        <v>0</v>
      </c>
      <c r="Q62">
        <f>COUNTIFS(Absensi!$D60:$ND60,"CS",Absensi!$D$2:$ND$2,Q$6)</f>
        <v>0</v>
      </c>
      <c r="R62">
        <f>COUNTIFS(Absensi!$D60:$ND60,"CS",Absensi!$D$2:$ND$2,R$6)</f>
        <v>0</v>
      </c>
      <c r="S62">
        <f>COUNTIFS(Absensi!$D60:$ND60,"CS",Absensi!$D$2:$ND$2,S$6)</f>
        <v>0</v>
      </c>
      <c r="T62">
        <f>COUNTIFS(Absensi!$D60:$ND60,"CS",Absensi!$D$2:$ND$2,T$6)</f>
        <v>0</v>
      </c>
      <c r="U62">
        <f>COUNTIFS(Absensi!$D60:$ND60,"CS",Absensi!$D$2:$ND$2,U$6)</f>
        <v>0</v>
      </c>
      <c r="V62">
        <f>COUNTIFS(Absensi!$D60:$ND60,"CS",Absensi!$D$2:$ND$2,V$6)</f>
        <v>0</v>
      </c>
      <c r="W62">
        <f>COUNTIFS(Absensi!$D60:$ND60,"CS",Absensi!$D$2:$ND$2,W$6)</f>
        <v>0</v>
      </c>
      <c r="X62">
        <f>COUNTIFS(Absensi!$D60:$ND60,"CS",Absensi!$D$2:$ND$2,X$6)</f>
        <v>0</v>
      </c>
      <c r="Y62">
        <f>COUNTIFS(Absensi!$D60:$ND60,"CS",Absensi!$D$2:$ND$2,Y$6)</f>
        <v>0</v>
      </c>
      <c r="Z62">
        <f>COUNTIFS(Absensi!$D60:$ND60,"CS",Absensi!$D$2:$ND$2,Z$6)</f>
        <v>0</v>
      </c>
      <c r="AA62">
        <f>COUNTIFS(Absensi!$D60:$ND60,"CS",Absensi!$D$2:$ND$2,AA$6)</f>
        <v>0</v>
      </c>
      <c r="AB62">
        <f>COUNTIFS(Absensi!$D60:$ND60,"CS",Absensi!$D$2:$ND$2,AB$6)</f>
        <v>0</v>
      </c>
      <c r="AC62">
        <f t="shared" si="2"/>
        <v>12</v>
      </c>
      <c r="AD62">
        <f t="shared" si="3"/>
        <v>12</v>
      </c>
      <c r="AE62">
        <f t="shared" si="4"/>
        <v>12</v>
      </c>
      <c r="AF62">
        <f t="shared" si="5"/>
        <v>12</v>
      </c>
      <c r="AG62">
        <f t="shared" si="6"/>
        <v>12</v>
      </c>
      <c r="AH62">
        <f t="shared" si="7"/>
        <v>12</v>
      </c>
      <c r="AI62">
        <f t="shared" si="8"/>
        <v>11</v>
      </c>
      <c r="AJ62">
        <f t="shared" si="9"/>
        <v>10</v>
      </c>
      <c r="AK62">
        <f t="shared" si="10"/>
        <v>10</v>
      </c>
      <c r="AL62">
        <f t="shared" si="11"/>
        <v>10</v>
      </c>
      <c r="AM62">
        <f t="shared" si="12"/>
        <v>10</v>
      </c>
      <c r="AN62">
        <f t="shared" si="13"/>
        <v>10</v>
      </c>
    </row>
    <row r="63" spans="1:40" x14ac:dyDescent="0.25">
      <c r="A63" s="26">
        <v>57</v>
      </c>
      <c r="B63" s="27" t="str">
        <f>Absensi!B61</f>
        <v>Gudang C</v>
      </c>
      <c r="C63" s="27" t="str">
        <f>Rekap!C63</f>
        <v>Afriza Saputra</v>
      </c>
      <c r="D63" s="46" t="str">
        <f t="shared" si="1"/>
        <v>Gudang CAfriza Saputra</v>
      </c>
      <c r="E63">
        <f>COUNTIFS(Absensi!$D61:$ND61,"C",Absensi!$D$2:$ND$2,E$6)</f>
        <v>0</v>
      </c>
      <c r="F63">
        <f>COUNTIFS(Absensi!$D61:$ND61,"C",Absensi!$D$2:$ND$2,F$6)</f>
        <v>0</v>
      </c>
      <c r="G63">
        <f>COUNTIFS(Absensi!$D61:$ND61,"C",Absensi!$D$2:$ND$2,G$6)</f>
        <v>0</v>
      </c>
      <c r="H63">
        <f>COUNTIFS(Absensi!$D61:$ND61,"C",Absensi!$D$2:$ND$2,H$6)</f>
        <v>0</v>
      </c>
      <c r="I63">
        <f>COUNTIFS(Absensi!$D61:$ND61,"C",Absensi!$D$2:$ND$2,I$6)</f>
        <v>0</v>
      </c>
      <c r="J63">
        <f>COUNTIFS(Absensi!$D61:$ND61,"C",Absensi!$D$2:$ND$2,J$6)</f>
        <v>0</v>
      </c>
      <c r="K63">
        <f>COUNTIFS(Absensi!$D61:$ND61,"C",Absensi!$D$2:$ND$2,K$6)</f>
        <v>2</v>
      </c>
      <c r="L63">
        <f>COUNTIFS(Absensi!$D61:$ND61,"C",Absensi!$D$2:$ND$2,L$6)</f>
        <v>1</v>
      </c>
      <c r="M63">
        <f>COUNTIFS(Absensi!$D61:$ND61,"C",Absensi!$D$2:$ND$2,M$6)</f>
        <v>2</v>
      </c>
      <c r="N63">
        <f>COUNTIFS(Absensi!$D61:$ND61,"C",Absensi!$D$2:$ND$2,N$6)</f>
        <v>0</v>
      </c>
      <c r="O63">
        <f>COUNTIFS(Absensi!$D61:$ND61,"C",Absensi!$D$2:$ND$2,O$6)</f>
        <v>0</v>
      </c>
      <c r="P63">
        <f>COUNTIFS(Absensi!$D61:$ND61,"C",Absensi!$D$2:$ND$2,P$6)</f>
        <v>0</v>
      </c>
      <c r="Q63">
        <f>COUNTIFS(Absensi!$D61:$ND61,"CS",Absensi!$D$2:$ND$2,Q$6)</f>
        <v>0</v>
      </c>
      <c r="R63">
        <f>COUNTIFS(Absensi!$D61:$ND61,"CS",Absensi!$D$2:$ND$2,R$6)</f>
        <v>0</v>
      </c>
      <c r="S63">
        <f>COUNTIFS(Absensi!$D61:$ND61,"CS",Absensi!$D$2:$ND$2,S$6)</f>
        <v>0</v>
      </c>
      <c r="T63">
        <f>COUNTIFS(Absensi!$D61:$ND61,"CS",Absensi!$D$2:$ND$2,T$6)</f>
        <v>0</v>
      </c>
      <c r="U63">
        <f>COUNTIFS(Absensi!$D61:$ND61,"CS",Absensi!$D$2:$ND$2,U$6)</f>
        <v>0</v>
      </c>
      <c r="V63">
        <f>COUNTIFS(Absensi!$D61:$ND61,"CS",Absensi!$D$2:$ND$2,V$6)</f>
        <v>0</v>
      </c>
      <c r="W63">
        <f>COUNTIFS(Absensi!$D61:$ND61,"CS",Absensi!$D$2:$ND$2,W$6)</f>
        <v>0</v>
      </c>
      <c r="X63">
        <f>COUNTIFS(Absensi!$D61:$ND61,"CS",Absensi!$D$2:$ND$2,X$6)</f>
        <v>0</v>
      </c>
      <c r="Y63">
        <f>COUNTIFS(Absensi!$D61:$ND61,"CS",Absensi!$D$2:$ND$2,Y$6)</f>
        <v>0</v>
      </c>
      <c r="Z63">
        <f>COUNTIFS(Absensi!$D61:$ND61,"CS",Absensi!$D$2:$ND$2,Z$6)</f>
        <v>0</v>
      </c>
      <c r="AA63">
        <f>COUNTIFS(Absensi!$D61:$ND61,"CS",Absensi!$D$2:$ND$2,AA$6)</f>
        <v>0</v>
      </c>
      <c r="AB63">
        <f>COUNTIFS(Absensi!$D61:$ND61,"CS",Absensi!$D$2:$ND$2,AB$6)</f>
        <v>0</v>
      </c>
      <c r="AC63">
        <f t="shared" si="2"/>
        <v>12</v>
      </c>
      <c r="AD63">
        <f t="shared" si="3"/>
        <v>12</v>
      </c>
      <c r="AE63">
        <f t="shared" si="4"/>
        <v>12</v>
      </c>
      <c r="AF63">
        <f t="shared" si="5"/>
        <v>12</v>
      </c>
      <c r="AG63">
        <f t="shared" si="6"/>
        <v>12</v>
      </c>
      <c r="AH63">
        <f t="shared" si="7"/>
        <v>12</v>
      </c>
      <c r="AI63">
        <f t="shared" si="8"/>
        <v>10</v>
      </c>
      <c r="AJ63">
        <f t="shared" si="9"/>
        <v>9</v>
      </c>
      <c r="AK63">
        <f t="shared" si="10"/>
        <v>7</v>
      </c>
      <c r="AL63">
        <f t="shared" si="11"/>
        <v>7</v>
      </c>
      <c r="AM63">
        <f t="shared" si="12"/>
        <v>7</v>
      </c>
      <c r="AN63">
        <f t="shared" si="13"/>
        <v>7</v>
      </c>
    </row>
    <row r="64" spans="1:40" ht="30" x14ac:dyDescent="0.25">
      <c r="A64" s="26">
        <v>58</v>
      </c>
      <c r="B64" s="27" t="str">
        <f>Absensi!B62</f>
        <v>Gudang C</v>
      </c>
      <c r="C64" s="27" t="str">
        <f>Rekap!C64</f>
        <v>Zainudin Hidayatullah</v>
      </c>
      <c r="D64" s="46" t="str">
        <f t="shared" si="1"/>
        <v>Gudang CZainudin Hidayatullah</v>
      </c>
      <c r="E64">
        <f>COUNTIFS(Absensi!$D62:$ND62,"C",Absensi!$D$2:$ND$2,E$6)</f>
        <v>0</v>
      </c>
      <c r="F64">
        <f>COUNTIFS(Absensi!$D62:$ND62,"C",Absensi!$D$2:$ND$2,F$6)</f>
        <v>0</v>
      </c>
      <c r="G64">
        <f>COUNTIFS(Absensi!$D62:$ND62,"C",Absensi!$D$2:$ND$2,G$6)</f>
        <v>0</v>
      </c>
      <c r="H64">
        <f>COUNTIFS(Absensi!$D62:$ND62,"C",Absensi!$D$2:$ND$2,H$6)</f>
        <v>0</v>
      </c>
      <c r="I64">
        <f>COUNTIFS(Absensi!$D62:$ND62,"C",Absensi!$D$2:$ND$2,I$6)</f>
        <v>0</v>
      </c>
      <c r="J64">
        <f>COUNTIFS(Absensi!$D62:$ND62,"C",Absensi!$D$2:$ND$2,J$6)</f>
        <v>1</v>
      </c>
      <c r="K64">
        <f>COUNTIFS(Absensi!$D62:$ND62,"C",Absensi!$D$2:$ND$2,K$6)</f>
        <v>2</v>
      </c>
      <c r="L64">
        <f>COUNTIFS(Absensi!$D62:$ND62,"C",Absensi!$D$2:$ND$2,L$6)</f>
        <v>1</v>
      </c>
      <c r="M64">
        <f>COUNTIFS(Absensi!$D62:$ND62,"C",Absensi!$D$2:$ND$2,M$6)</f>
        <v>2</v>
      </c>
      <c r="N64">
        <f>COUNTIFS(Absensi!$D62:$ND62,"C",Absensi!$D$2:$ND$2,N$6)</f>
        <v>0</v>
      </c>
      <c r="O64">
        <f>COUNTIFS(Absensi!$D62:$ND62,"C",Absensi!$D$2:$ND$2,O$6)</f>
        <v>0</v>
      </c>
      <c r="P64">
        <f>COUNTIFS(Absensi!$D62:$ND62,"C",Absensi!$D$2:$ND$2,P$6)</f>
        <v>0</v>
      </c>
      <c r="Q64">
        <f>COUNTIFS(Absensi!$D62:$ND62,"CS",Absensi!$D$2:$ND$2,Q$6)</f>
        <v>0</v>
      </c>
      <c r="R64">
        <f>COUNTIFS(Absensi!$D62:$ND62,"CS",Absensi!$D$2:$ND$2,R$6)</f>
        <v>0</v>
      </c>
      <c r="S64">
        <f>COUNTIFS(Absensi!$D62:$ND62,"CS",Absensi!$D$2:$ND$2,S$6)</f>
        <v>0</v>
      </c>
      <c r="T64">
        <f>COUNTIFS(Absensi!$D62:$ND62,"CS",Absensi!$D$2:$ND$2,T$6)</f>
        <v>0</v>
      </c>
      <c r="U64">
        <f>COUNTIFS(Absensi!$D62:$ND62,"CS",Absensi!$D$2:$ND$2,U$6)</f>
        <v>0</v>
      </c>
      <c r="V64">
        <f>COUNTIFS(Absensi!$D62:$ND62,"CS",Absensi!$D$2:$ND$2,V$6)</f>
        <v>0</v>
      </c>
      <c r="W64">
        <f>COUNTIFS(Absensi!$D62:$ND62,"CS",Absensi!$D$2:$ND$2,W$6)</f>
        <v>0</v>
      </c>
      <c r="X64">
        <f>COUNTIFS(Absensi!$D62:$ND62,"CS",Absensi!$D$2:$ND$2,X$6)</f>
        <v>0</v>
      </c>
      <c r="Y64">
        <f>COUNTIFS(Absensi!$D62:$ND62,"CS",Absensi!$D$2:$ND$2,Y$6)</f>
        <v>0</v>
      </c>
      <c r="Z64">
        <f>COUNTIFS(Absensi!$D62:$ND62,"CS",Absensi!$D$2:$ND$2,Z$6)</f>
        <v>0</v>
      </c>
      <c r="AA64">
        <f>COUNTIFS(Absensi!$D62:$ND62,"CS",Absensi!$D$2:$ND$2,AA$6)</f>
        <v>0</v>
      </c>
      <c r="AB64">
        <f>COUNTIFS(Absensi!$D62:$ND62,"CS",Absensi!$D$2:$ND$2,AB$6)</f>
        <v>0</v>
      </c>
      <c r="AC64">
        <f t="shared" si="2"/>
        <v>12</v>
      </c>
      <c r="AD64">
        <f t="shared" si="3"/>
        <v>12</v>
      </c>
      <c r="AE64">
        <f t="shared" si="4"/>
        <v>12</v>
      </c>
      <c r="AF64">
        <f t="shared" si="5"/>
        <v>12</v>
      </c>
      <c r="AG64">
        <f t="shared" si="6"/>
        <v>12</v>
      </c>
      <c r="AH64">
        <f t="shared" si="7"/>
        <v>11</v>
      </c>
      <c r="AI64">
        <f t="shared" si="8"/>
        <v>9</v>
      </c>
      <c r="AJ64">
        <f t="shared" si="9"/>
        <v>8</v>
      </c>
      <c r="AK64">
        <f t="shared" si="10"/>
        <v>6</v>
      </c>
      <c r="AL64">
        <f t="shared" si="11"/>
        <v>6</v>
      </c>
      <c r="AM64">
        <f t="shared" si="12"/>
        <v>6</v>
      </c>
      <c r="AN64">
        <f t="shared" si="13"/>
        <v>6</v>
      </c>
    </row>
    <row r="65" spans="1:40" x14ac:dyDescent="0.25">
      <c r="A65" s="26">
        <v>59</v>
      </c>
      <c r="B65" s="27" t="str">
        <f>Absensi!B63</f>
        <v>Set Up</v>
      </c>
      <c r="C65" s="27" t="str">
        <f>Rekap!C65</f>
        <v>Guntur</v>
      </c>
      <c r="D65" s="46" t="str">
        <f t="shared" si="1"/>
        <v>Set UpGuntur</v>
      </c>
      <c r="E65">
        <f>COUNTIFS(Absensi!$D63:$ND63,"C",Absensi!$D$2:$ND$2,E$6)</f>
        <v>0</v>
      </c>
      <c r="F65">
        <f>COUNTIFS(Absensi!$D63:$ND63,"C",Absensi!$D$2:$ND$2,F$6)</f>
        <v>0</v>
      </c>
      <c r="G65">
        <f>COUNTIFS(Absensi!$D63:$ND63,"C",Absensi!$D$2:$ND$2,G$6)</f>
        <v>0</v>
      </c>
      <c r="H65">
        <f>COUNTIFS(Absensi!$D63:$ND63,"C",Absensi!$D$2:$ND$2,H$6)</f>
        <v>0</v>
      </c>
      <c r="I65">
        <f>COUNTIFS(Absensi!$D63:$ND63,"C",Absensi!$D$2:$ND$2,I$6)</f>
        <v>0</v>
      </c>
      <c r="J65">
        <f>COUNTIFS(Absensi!$D63:$ND63,"C",Absensi!$D$2:$ND$2,J$6)</f>
        <v>0</v>
      </c>
      <c r="K65">
        <f>COUNTIFS(Absensi!$D63:$ND63,"C",Absensi!$D$2:$ND$2,K$6)</f>
        <v>0</v>
      </c>
      <c r="L65">
        <f>COUNTIFS(Absensi!$D63:$ND63,"C",Absensi!$D$2:$ND$2,L$6)</f>
        <v>0</v>
      </c>
      <c r="M65">
        <f>COUNTIFS(Absensi!$D63:$ND63,"C",Absensi!$D$2:$ND$2,M$6)</f>
        <v>0</v>
      </c>
      <c r="N65">
        <f>COUNTIFS(Absensi!$D63:$ND63,"C",Absensi!$D$2:$ND$2,N$6)</f>
        <v>0</v>
      </c>
      <c r="O65">
        <f>COUNTIFS(Absensi!$D63:$ND63,"C",Absensi!$D$2:$ND$2,O$6)</f>
        <v>0</v>
      </c>
      <c r="P65">
        <f>COUNTIFS(Absensi!$D63:$ND63,"C",Absensi!$D$2:$ND$2,P$6)</f>
        <v>0</v>
      </c>
      <c r="Q65">
        <f>COUNTIFS(Absensi!$D63:$ND63,"CS",Absensi!$D$2:$ND$2,Q$6)</f>
        <v>0</v>
      </c>
      <c r="R65">
        <f>COUNTIFS(Absensi!$D63:$ND63,"CS",Absensi!$D$2:$ND$2,R$6)</f>
        <v>0</v>
      </c>
      <c r="S65">
        <f>COUNTIFS(Absensi!$D63:$ND63,"CS",Absensi!$D$2:$ND$2,S$6)</f>
        <v>0</v>
      </c>
      <c r="T65">
        <f>COUNTIFS(Absensi!$D63:$ND63,"CS",Absensi!$D$2:$ND$2,T$6)</f>
        <v>0</v>
      </c>
      <c r="U65">
        <f>COUNTIFS(Absensi!$D63:$ND63,"CS",Absensi!$D$2:$ND$2,U$6)</f>
        <v>0</v>
      </c>
      <c r="V65">
        <f>COUNTIFS(Absensi!$D63:$ND63,"CS",Absensi!$D$2:$ND$2,V$6)</f>
        <v>0</v>
      </c>
      <c r="W65">
        <f>COUNTIFS(Absensi!$D63:$ND63,"CS",Absensi!$D$2:$ND$2,W$6)</f>
        <v>0</v>
      </c>
      <c r="X65">
        <f>COUNTIFS(Absensi!$D63:$ND63,"CS",Absensi!$D$2:$ND$2,X$6)</f>
        <v>0</v>
      </c>
      <c r="Y65">
        <f>COUNTIFS(Absensi!$D63:$ND63,"CS",Absensi!$D$2:$ND$2,Y$6)</f>
        <v>0</v>
      </c>
      <c r="Z65">
        <f>COUNTIFS(Absensi!$D63:$ND63,"CS",Absensi!$D$2:$ND$2,Z$6)</f>
        <v>0</v>
      </c>
      <c r="AA65">
        <f>COUNTIFS(Absensi!$D63:$ND63,"CS",Absensi!$D$2:$ND$2,AA$6)</f>
        <v>0</v>
      </c>
      <c r="AB65">
        <f>COUNTIFS(Absensi!$D63:$ND63,"CS",Absensi!$D$2:$ND$2,AB$6)</f>
        <v>0</v>
      </c>
      <c r="AC65">
        <f t="shared" si="2"/>
        <v>12</v>
      </c>
      <c r="AD65">
        <f t="shared" si="3"/>
        <v>12</v>
      </c>
      <c r="AE65">
        <f t="shared" si="4"/>
        <v>12</v>
      </c>
      <c r="AF65">
        <f t="shared" si="5"/>
        <v>12</v>
      </c>
      <c r="AG65">
        <f t="shared" si="6"/>
        <v>12</v>
      </c>
      <c r="AH65">
        <f t="shared" si="7"/>
        <v>12</v>
      </c>
      <c r="AI65">
        <f t="shared" si="8"/>
        <v>12</v>
      </c>
      <c r="AJ65">
        <f t="shared" si="9"/>
        <v>12</v>
      </c>
      <c r="AK65">
        <f t="shared" si="10"/>
        <v>12</v>
      </c>
      <c r="AL65">
        <f t="shared" si="11"/>
        <v>12</v>
      </c>
      <c r="AM65">
        <f t="shared" si="12"/>
        <v>12</v>
      </c>
      <c r="AN65">
        <f t="shared" si="13"/>
        <v>12</v>
      </c>
    </row>
    <row r="66" spans="1:40" x14ac:dyDescent="0.25">
      <c r="A66" s="26">
        <v>60</v>
      </c>
      <c r="B66" s="27" t="str">
        <f>Absensi!B64</f>
        <v>Set Up</v>
      </c>
      <c r="C66" s="27" t="str">
        <f>Rekap!C66</f>
        <v>Julian Akbar</v>
      </c>
      <c r="D66" s="46" t="str">
        <f t="shared" si="1"/>
        <v>Set UpJulian Akbar</v>
      </c>
      <c r="E66">
        <f>COUNTIFS(Absensi!$D64:$ND64,"C",Absensi!$D$2:$ND$2,E$6)</f>
        <v>4</v>
      </c>
      <c r="F66">
        <f>COUNTIFS(Absensi!$D64:$ND64,"C",Absensi!$D$2:$ND$2,F$6)</f>
        <v>4</v>
      </c>
      <c r="G66">
        <f>COUNTIFS(Absensi!$D64:$ND64,"C",Absensi!$D$2:$ND$2,G$6)</f>
        <v>3</v>
      </c>
      <c r="H66">
        <f>COUNTIFS(Absensi!$D64:$ND64,"C",Absensi!$D$2:$ND$2,H$6)</f>
        <v>0</v>
      </c>
      <c r="I66">
        <f>COUNTIFS(Absensi!$D64:$ND64,"C",Absensi!$D$2:$ND$2,I$6)</f>
        <v>1</v>
      </c>
      <c r="J66">
        <f>COUNTIFS(Absensi!$D64:$ND64,"C",Absensi!$D$2:$ND$2,J$6)</f>
        <v>0</v>
      </c>
      <c r="K66">
        <f>COUNTIFS(Absensi!$D64:$ND64,"C",Absensi!$D$2:$ND$2,K$6)</f>
        <v>5</v>
      </c>
      <c r="L66">
        <f>COUNTIFS(Absensi!$D64:$ND64,"C",Absensi!$D$2:$ND$2,L$6)</f>
        <v>0</v>
      </c>
      <c r="M66">
        <f>COUNTIFS(Absensi!$D64:$ND64,"C",Absensi!$D$2:$ND$2,M$6)</f>
        <v>0</v>
      </c>
      <c r="N66">
        <f>COUNTIFS(Absensi!$D64:$ND64,"C",Absensi!$D$2:$ND$2,N$6)</f>
        <v>0</v>
      </c>
      <c r="O66">
        <f>COUNTIFS(Absensi!$D64:$ND64,"C",Absensi!$D$2:$ND$2,O$6)</f>
        <v>0</v>
      </c>
      <c r="P66">
        <f>COUNTIFS(Absensi!$D64:$ND64,"C",Absensi!$D$2:$ND$2,P$6)</f>
        <v>0</v>
      </c>
      <c r="Q66">
        <f>COUNTIFS(Absensi!$D64:$ND64,"CS",Absensi!$D$2:$ND$2,Q$6)</f>
        <v>0</v>
      </c>
      <c r="R66">
        <f>COUNTIFS(Absensi!$D64:$ND64,"CS",Absensi!$D$2:$ND$2,R$6)</f>
        <v>0</v>
      </c>
      <c r="S66">
        <f>COUNTIFS(Absensi!$D64:$ND64,"CS",Absensi!$D$2:$ND$2,S$6)</f>
        <v>0</v>
      </c>
      <c r="T66">
        <f>COUNTIFS(Absensi!$D64:$ND64,"CS",Absensi!$D$2:$ND$2,T$6)</f>
        <v>0</v>
      </c>
      <c r="U66">
        <f>COUNTIFS(Absensi!$D64:$ND64,"CS",Absensi!$D$2:$ND$2,U$6)</f>
        <v>0</v>
      </c>
      <c r="V66">
        <f>COUNTIFS(Absensi!$D64:$ND64,"CS",Absensi!$D$2:$ND$2,V$6)</f>
        <v>0</v>
      </c>
      <c r="W66">
        <f>COUNTIFS(Absensi!$D64:$ND64,"CS",Absensi!$D$2:$ND$2,W$6)</f>
        <v>0</v>
      </c>
      <c r="X66">
        <f>COUNTIFS(Absensi!$D64:$ND64,"CS",Absensi!$D$2:$ND$2,X$6)</f>
        <v>0</v>
      </c>
      <c r="Y66">
        <f>COUNTIFS(Absensi!$D64:$ND64,"CS",Absensi!$D$2:$ND$2,Y$6)</f>
        <v>0</v>
      </c>
      <c r="Z66">
        <f>COUNTIFS(Absensi!$D64:$ND64,"CS",Absensi!$D$2:$ND$2,Z$6)</f>
        <v>0</v>
      </c>
      <c r="AA66">
        <f>COUNTIFS(Absensi!$D64:$ND64,"CS",Absensi!$D$2:$ND$2,AA$6)</f>
        <v>0</v>
      </c>
      <c r="AB66">
        <f>COUNTIFS(Absensi!$D64:$ND64,"CS",Absensi!$D$2:$ND$2,AB$6)</f>
        <v>0</v>
      </c>
      <c r="AC66">
        <f t="shared" si="2"/>
        <v>8</v>
      </c>
      <c r="AD66">
        <f t="shared" si="3"/>
        <v>4</v>
      </c>
      <c r="AE66">
        <f t="shared" si="4"/>
        <v>1</v>
      </c>
      <c r="AF66">
        <f t="shared" si="5"/>
        <v>1</v>
      </c>
      <c r="AG66">
        <f t="shared" si="6"/>
        <v>0</v>
      </c>
      <c r="AH66">
        <f t="shared" si="7"/>
        <v>0</v>
      </c>
      <c r="AI66">
        <f t="shared" si="8"/>
        <v>-5</v>
      </c>
      <c r="AJ66">
        <f t="shared" si="9"/>
        <v>-5</v>
      </c>
      <c r="AK66">
        <f t="shared" si="10"/>
        <v>-5</v>
      </c>
      <c r="AL66">
        <f t="shared" si="11"/>
        <v>-5</v>
      </c>
      <c r="AM66">
        <f t="shared" si="12"/>
        <v>-5</v>
      </c>
      <c r="AN66">
        <f t="shared" si="13"/>
        <v>-5</v>
      </c>
    </row>
    <row r="67" spans="1:40" x14ac:dyDescent="0.25">
      <c r="A67" s="26">
        <v>61</v>
      </c>
      <c r="B67" s="27" t="str">
        <f>Absensi!B65</f>
        <v>Set Up</v>
      </c>
      <c r="C67" s="27" t="str">
        <f>Rekap!C67</f>
        <v>Daud</v>
      </c>
      <c r="D67" s="46" t="str">
        <f t="shared" si="1"/>
        <v>Set UpDaud</v>
      </c>
      <c r="E67">
        <f>COUNTIFS(Absensi!$D65:$ND65,"C",Absensi!$D$2:$ND$2,E$6)</f>
        <v>0</v>
      </c>
      <c r="F67">
        <f>COUNTIFS(Absensi!$D65:$ND65,"C",Absensi!$D$2:$ND$2,F$6)</f>
        <v>0</v>
      </c>
      <c r="G67">
        <f>COUNTIFS(Absensi!$D65:$ND65,"C",Absensi!$D$2:$ND$2,G$6)</f>
        <v>3</v>
      </c>
      <c r="H67">
        <f>COUNTIFS(Absensi!$D65:$ND65,"C",Absensi!$D$2:$ND$2,H$6)</f>
        <v>0</v>
      </c>
      <c r="I67">
        <f>COUNTIFS(Absensi!$D65:$ND65,"C",Absensi!$D$2:$ND$2,I$6)</f>
        <v>0</v>
      </c>
      <c r="J67">
        <f>COUNTIFS(Absensi!$D65:$ND65,"C",Absensi!$D$2:$ND$2,J$6)</f>
        <v>0</v>
      </c>
      <c r="K67">
        <f>COUNTIFS(Absensi!$D65:$ND65,"C",Absensi!$D$2:$ND$2,K$6)</f>
        <v>0</v>
      </c>
      <c r="L67">
        <f>COUNTIFS(Absensi!$D65:$ND65,"C",Absensi!$D$2:$ND$2,L$6)</f>
        <v>0</v>
      </c>
      <c r="M67">
        <f>COUNTIFS(Absensi!$D65:$ND65,"C",Absensi!$D$2:$ND$2,M$6)</f>
        <v>0</v>
      </c>
      <c r="N67">
        <f>COUNTIFS(Absensi!$D65:$ND65,"C",Absensi!$D$2:$ND$2,N$6)</f>
        <v>0</v>
      </c>
      <c r="O67">
        <f>COUNTIFS(Absensi!$D65:$ND65,"C",Absensi!$D$2:$ND$2,O$6)</f>
        <v>0</v>
      </c>
      <c r="P67">
        <f>COUNTIFS(Absensi!$D65:$ND65,"C",Absensi!$D$2:$ND$2,P$6)</f>
        <v>0</v>
      </c>
      <c r="Q67">
        <f>COUNTIFS(Absensi!$D65:$ND65,"CS",Absensi!$D$2:$ND$2,Q$6)</f>
        <v>0</v>
      </c>
      <c r="R67">
        <f>COUNTIFS(Absensi!$D65:$ND65,"CS",Absensi!$D$2:$ND$2,R$6)</f>
        <v>0</v>
      </c>
      <c r="S67">
        <f>COUNTIFS(Absensi!$D65:$ND65,"CS",Absensi!$D$2:$ND$2,S$6)</f>
        <v>0</v>
      </c>
      <c r="T67">
        <f>COUNTIFS(Absensi!$D65:$ND65,"CS",Absensi!$D$2:$ND$2,T$6)</f>
        <v>0</v>
      </c>
      <c r="U67">
        <f>COUNTIFS(Absensi!$D65:$ND65,"CS",Absensi!$D$2:$ND$2,U$6)</f>
        <v>0</v>
      </c>
      <c r="V67">
        <f>COUNTIFS(Absensi!$D65:$ND65,"CS",Absensi!$D$2:$ND$2,V$6)</f>
        <v>0</v>
      </c>
      <c r="W67">
        <f>COUNTIFS(Absensi!$D65:$ND65,"CS",Absensi!$D$2:$ND$2,W$6)</f>
        <v>0</v>
      </c>
      <c r="X67">
        <f>COUNTIFS(Absensi!$D65:$ND65,"CS",Absensi!$D$2:$ND$2,X$6)</f>
        <v>0</v>
      </c>
      <c r="Y67">
        <f>COUNTIFS(Absensi!$D65:$ND65,"CS",Absensi!$D$2:$ND$2,Y$6)</f>
        <v>0</v>
      </c>
      <c r="Z67">
        <f>COUNTIFS(Absensi!$D65:$ND65,"CS",Absensi!$D$2:$ND$2,Z$6)</f>
        <v>0</v>
      </c>
      <c r="AA67">
        <f>COUNTIFS(Absensi!$D65:$ND65,"CS",Absensi!$D$2:$ND$2,AA$6)</f>
        <v>0</v>
      </c>
      <c r="AB67">
        <f>COUNTIFS(Absensi!$D65:$ND65,"CS",Absensi!$D$2:$ND$2,AB$6)</f>
        <v>0</v>
      </c>
      <c r="AC67">
        <f t="shared" si="2"/>
        <v>12</v>
      </c>
      <c r="AD67">
        <f t="shared" si="3"/>
        <v>12</v>
      </c>
      <c r="AE67">
        <f t="shared" si="4"/>
        <v>9</v>
      </c>
      <c r="AF67">
        <f t="shared" si="5"/>
        <v>9</v>
      </c>
      <c r="AG67">
        <f t="shared" si="6"/>
        <v>9</v>
      </c>
      <c r="AH67">
        <f t="shared" si="7"/>
        <v>9</v>
      </c>
      <c r="AI67">
        <f t="shared" si="8"/>
        <v>9</v>
      </c>
      <c r="AJ67">
        <f t="shared" si="9"/>
        <v>9</v>
      </c>
      <c r="AK67">
        <f t="shared" si="10"/>
        <v>9</v>
      </c>
      <c r="AL67">
        <f t="shared" si="11"/>
        <v>9</v>
      </c>
      <c r="AM67">
        <f t="shared" si="12"/>
        <v>9</v>
      </c>
      <c r="AN67">
        <f t="shared" si="13"/>
        <v>9</v>
      </c>
    </row>
    <row r="68" spans="1:40" ht="30" x14ac:dyDescent="0.25">
      <c r="A68" s="26">
        <v>62</v>
      </c>
      <c r="B68" s="27" t="str">
        <f>Absensi!B66</f>
        <v>Set Up</v>
      </c>
      <c r="C68" s="27" t="str">
        <f>Rekap!C68</f>
        <v>nabila wardah saadah</v>
      </c>
      <c r="D68" s="46" t="str">
        <f t="shared" si="1"/>
        <v>Set Upnabila wardah saadah</v>
      </c>
      <c r="E68">
        <f>COUNTIFS(Absensi!$D66:$ND66,"C",Absensi!$D$2:$ND$2,E$6)</f>
        <v>0</v>
      </c>
      <c r="F68">
        <f>COUNTIFS(Absensi!$D66:$ND66,"C",Absensi!$D$2:$ND$2,F$6)</f>
        <v>1</v>
      </c>
      <c r="G68">
        <f>COUNTIFS(Absensi!$D66:$ND66,"C",Absensi!$D$2:$ND$2,G$6)</f>
        <v>3</v>
      </c>
      <c r="H68">
        <f>COUNTIFS(Absensi!$D66:$ND66,"C",Absensi!$D$2:$ND$2,H$6)</f>
        <v>0</v>
      </c>
      <c r="I68">
        <f>COUNTIFS(Absensi!$D66:$ND66,"C",Absensi!$D$2:$ND$2,I$6)</f>
        <v>0</v>
      </c>
      <c r="J68">
        <f>COUNTIFS(Absensi!$D66:$ND66,"C",Absensi!$D$2:$ND$2,J$6)</f>
        <v>0</v>
      </c>
      <c r="K68">
        <f>COUNTIFS(Absensi!$D66:$ND66,"C",Absensi!$D$2:$ND$2,K$6)</f>
        <v>2</v>
      </c>
      <c r="L68">
        <f>COUNTIFS(Absensi!$D66:$ND66,"C",Absensi!$D$2:$ND$2,L$6)</f>
        <v>1</v>
      </c>
      <c r="M68">
        <f>COUNTIFS(Absensi!$D66:$ND66,"C",Absensi!$D$2:$ND$2,M$6)</f>
        <v>1</v>
      </c>
      <c r="N68">
        <f>COUNTIFS(Absensi!$D66:$ND66,"C",Absensi!$D$2:$ND$2,N$6)</f>
        <v>0</v>
      </c>
      <c r="O68">
        <f>COUNTIFS(Absensi!$D66:$ND66,"C",Absensi!$D$2:$ND$2,O$6)</f>
        <v>0</v>
      </c>
      <c r="P68">
        <f>COUNTIFS(Absensi!$D66:$ND66,"C",Absensi!$D$2:$ND$2,P$6)</f>
        <v>0</v>
      </c>
      <c r="Q68">
        <f>COUNTIFS(Absensi!$D66:$ND66,"CS",Absensi!$D$2:$ND$2,Q$6)</f>
        <v>0</v>
      </c>
      <c r="R68">
        <f>COUNTIFS(Absensi!$D66:$ND66,"CS",Absensi!$D$2:$ND$2,R$6)</f>
        <v>0</v>
      </c>
      <c r="S68">
        <f>COUNTIFS(Absensi!$D66:$ND66,"CS",Absensi!$D$2:$ND$2,S$6)</f>
        <v>0</v>
      </c>
      <c r="T68">
        <f>COUNTIFS(Absensi!$D66:$ND66,"CS",Absensi!$D$2:$ND$2,T$6)</f>
        <v>0</v>
      </c>
      <c r="U68">
        <f>COUNTIFS(Absensi!$D66:$ND66,"CS",Absensi!$D$2:$ND$2,U$6)</f>
        <v>0</v>
      </c>
      <c r="V68">
        <f>COUNTIFS(Absensi!$D66:$ND66,"CS",Absensi!$D$2:$ND$2,V$6)</f>
        <v>0</v>
      </c>
      <c r="W68">
        <f>COUNTIFS(Absensi!$D66:$ND66,"CS",Absensi!$D$2:$ND$2,W$6)</f>
        <v>0</v>
      </c>
      <c r="X68">
        <f>COUNTIFS(Absensi!$D66:$ND66,"CS",Absensi!$D$2:$ND$2,X$6)</f>
        <v>1</v>
      </c>
      <c r="Y68">
        <f>COUNTIFS(Absensi!$D66:$ND66,"CS",Absensi!$D$2:$ND$2,Y$6)</f>
        <v>0</v>
      </c>
      <c r="Z68">
        <f>COUNTIFS(Absensi!$D66:$ND66,"CS",Absensi!$D$2:$ND$2,Z$6)</f>
        <v>0</v>
      </c>
      <c r="AA68">
        <f>COUNTIFS(Absensi!$D66:$ND66,"CS",Absensi!$D$2:$ND$2,AA$6)</f>
        <v>0</v>
      </c>
      <c r="AB68">
        <f>COUNTIFS(Absensi!$D66:$ND66,"CS",Absensi!$D$2:$ND$2,AB$6)</f>
        <v>0</v>
      </c>
      <c r="AC68">
        <f t="shared" si="2"/>
        <v>12</v>
      </c>
      <c r="AD68">
        <f t="shared" si="3"/>
        <v>11</v>
      </c>
      <c r="AE68">
        <f t="shared" si="4"/>
        <v>8</v>
      </c>
      <c r="AF68">
        <f t="shared" si="5"/>
        <v>8</v>
      </c>
      <c r="AG68">
        <f t="shared" si="6"/>
        <v>8</v>
      </c>
      <c r="AH68">
        <f t="shared" si="7"/>
        <v>8</v>
      </c>
      <c r="AI68">
        <f t="shared" si="8"/>
        <v>6</v>
      </c>
      <c r="AJ68">
        <f t="shared" si="9"/>
        <v>4.5</v>
      </c>
      <c r="AK68">
        <f t="shared" si="10"/>
        <v>3.5</v>
      </c>
      <c r="AL68">
        <f t="shared" si="11"/>
        <v>3.5</v>
      </c>
      <c r="AM68">
        <f t="shared" si="12"/>
        <v>3.5</v>
      </c>
      <c r="AN68">
        <f t="shared" si="13"/>
        <v>3.5</v>
      </c>
    </row>
    <row r="69" spans="1:40" x14ac:dyDescent="0.25">
      <c r="A69" s="26">
        <v>63</v>
      </c>
      <c r="B69" s="27" t="str">
        <f>Absensi!B67</f>
        <v>Set Up</v>
      </c>
      <c r="C69" s="27" t="str">
        <f>Rekap!C69</f>
        <v>soleh</v>
      </c>
      <c r="D69" s="46" t="str">
        <f t="shared" si="1"/>
        <v>Set Upsoleh</v>
      </c>
      <c r="E69">
        <f>COUNTIFS(Absensi!$D67:$ND67,"C",Absensi!$D$2:$ND$2,E$6)</f>
        <v>2</v>
      </c>
      <c r="F69">
        <f>COUNTIFS(Absensi!$D67:$ND67,"C",Absensi!$D$2:$ND$2,F$6)</f>
        <v>0</v>
      </c>
      <c r="G69">
        <f>COUNTIFS(Absensi!$D67:$ND67,"C",Absensi!$D$2:$ND$2,G$6)</f>
        <v>3</v>
      </c>
      <c r="H69">
        <f>COUNTIFS(Absensi!$D67:$ND67,"C",Absensi!$D$2:$ND$2,H$6)</f>
        <v>0</v>
      </c>
      <c r="I69">
        <f>COUNTIFS(Absensi!$D67:$ND67,"C",Absensi!$D$2:$ND$2,I$6)</f>
        <v>0</v>
      </c>
      <c r="J69">
        <f>COUNTIFS(Absensi!$D67:$ND67,"C",Absensi!$D$2:$ND$2,J$6)</f>
        <v>10</v>
      </c>
      <c r="K69">
        <f>COUNTIFS(Absensi!$D67:$ND67,"C",Absensi!$D$2:$ND$2,K$6)</f>
        <v>0</v>
      </c>
      <c r="L69">
        <f>COUNTIFS(Absensi!$D67:$ND67,"C",Absensi!$D$2:$ND$2,L$6)</f>
        <v>2</v>
      </c>
      <c r="M69">
        <f>COUNTIFS(Absensi!$D67:$ND67,"C",Absensi!$D$2:$ND$2,M$6)</f>
        <v>0</v>
      </c>
      <c r="N69">
        <f>COUNTIFS(Absensi!$D67:$ND67,"C",Absensi!$D$2:$ND$2,N$6)</f>
        <v>0</v>
      </c>
      <c r="O69">
        <f>COUNTIFS(Absensi!$D67:$ND67,"C",Absensi!$D$2:$ND$2,O$6)</f>
        <v>0</v>
      </c>
      <c r="P69">
        <f>COUNTIFS(Absensi!$D67:$ND67,"C",Absensi!$D$2:$ND$2,P$6)</f>
        <v>0</v>
      </c>
      <c r="Q69">
        <f>COUNTIFS(Absensi!$D67:$ND67,"CS",Absensi!$D$2:$ND$2,Q$6)</f>
        <v>0</v>
      </c>
      <c r="R69">
        <f>COUNTIFS(Absensi!$D67:$ND67,"CS",Absensi!$D$2:$ND$2,R$6)</f>
        <v>0</v>
      </c>
      <c r="S69">
        <f>COUNTIFS(Absensi!$D67:$ND67,"CS",Absensi!$D$2:$ND$2,S$6)</f>
        <v>0</v>
      </c>
      <c r="T69">
        <f>COUNTIFS(Absensi!$D67:$ND67,"CS",Absensi!$D$2:$ND$2,T$6)</f>
        <v>0</v>
      </c>
      <c r="U69">
        <f>COUNTIFS(Absensi!$D67:$ND67,"CS",Absensi!$D$2:$ND$2,U$6)</f>
        <v>0</v>
      </c>
      <c r="V69">
        <f>COUNTIFS(Absensi!$D67:$ND67,"CS",Absensi!$D$2:$ND$2,V$6)</f>
        <v>0</v>
      </c>
      <c r="W69">
        <f>COUNTIFS(Absensi!$D67:$ND67,"CS",Absensi!$D$2:$ND$2,W$6)</f>
        <v>0</v>
      </c>
      <c r="X69">
        <f>COUNTIFS(Absensi!$D67:$ND67,"CS",Absensi!$D$2:$ND$2,X$6)</f>
        <v>0</v>
      </c>
      <c r="Y69">
        <f>COUNTIFS(Absensi!$D67:$ND67,"CS",Absensi!$D$2:$ND$2,Y$6)</f>
        <v>0</v>
      </c>
      <c r="Z69">
        <f>COUNTIFS(Absensi!$D67:$ND67,"CS",Absensi!$D$2:$ND$2,Z$6)</f>
        <v>0</v>
      </c>
      <c r="AA69">
        <f>COUNTIFS(Absensi!$D67:$ND67,"CS",Absensi!$D$2:$ND$2,AA$6)</f>
        <v>0</v>
      </c>
      <c r="AB69">
        <f>COUNTIFS(Absensi!$D67:$ND67,"CS",Absensi!$D$2:$ND$2,AB$6)</f>
        <v>0</v>
      </c>
      <c r="AC69">
        <f t="shared" si="2"/>
        <v>10</v>
      </c>
      <c r="AD69">
        <f t="shared" si="3"/>
        <v>10</v>
      </c>
      <c r="AE69">
        <f t="shared" si="4"/>
        <v>7</v>
      </c>
      <c r="AF69">
        <f t="shared" si="5"/>
        <v>7</v>
      </c>
      <c r="AG69">
        <f t="shared" si="6"/>
        <v>7</v>
      </c>
      <c r="AH69">
        <f t="shared" si="7"/>
        <v>-3</v>
      </c>
      <c r="AI69">
        <f t="shared" si="8"/>
        <v>-3</v>
      </c>
      <c r="AJ69">
        <f t="shared" si="9"/>
        <v>-5</v>
      </c>
      <c r="AK69">
        <f t="shared" si="10"/>
        <v>-5</v>
      </c>
      <c r="AL69">
        <f t="shared" si="11"/>
        <v>-5</v>
      </c>
      <c r="AM69">
        <f t="shared" si="12"/>
        <v>-5</v>
      </c>
      <c r="AN69">
        <f t="shared" si="13"/>
        <v>-5</v>
      </c>
    </row>
    <row r="70" spans="1:40" x14ac:dyDescent="0.25">
      <c r="A70" s="26">
        <v>64</v>
      </c>
      <c r="B70" s="27" t="str">
        <f>Absensi!B68</f>
        <v>Set Up</v>
      </c>
      <c r="C70" s="27" t="str">
        <f>Rekap!C70</f>
        <v>diki</v>
      </c>
      <c r="D70" s="46" t="str">
        <f t="shared" si="1"/>
        <v>Set Updiki</v>
      </c>
      <c r="E70">
        <f>COUNTIFS(Absensi!$D68:$ND68,"C",Absensi!$D$2:$ND$2,E$6)</f>
        <v>1</v>
      </c>
      <c r="F70">
        <f>COUNTIFS(Absensi!$D68:$ND68,"C",Absensi!$D$2:$ND$2,F$6)</f>
        <v>0</v>
      </c>
      <c r="G70">
        <f>COUNTIFS(Absensi!$D68:$ND68,"C",Absensi!$D$2:$ND$2,G$6)</f>
        <v>4</v>
      </c>
      <c r="H70">
        <f>COUNTIFS(Absensi!$D68:$ND68,"C",Absensi!$D$2:$ND$2,H$6)</f>
        <v>2</v>
      </c>
      <c r="I70">
        <f>COUNTIFS(Absensi!$D68:$ND68,"C",Absensi!$D$2:$ND$2,I$6)</f>
        <v>5</v>
      </c>
      <c r="J70">
        <f>COUNTIFS(Absensi!$D68:$ND68,"C",Absensi!$D$2:$ND$2,J$6)</f>
        <v>0</v>
      </c>
      <c r="K70">
        <f>COUNTIFS(Absensi!$D68:$ND68,"C",Absensi!$D$2:$ND$2,K$6)</f>
        <v>1</v>
      </c>
      <c r="L70">
        <f>COUNTIFS(Absensi!$D68:$ND68,"C",Absensi!$D$2:$ND$2,L$6)</f>
        <v>1</v>
      </c>
      <c r="M70">
        <f>COUNTIFS(Absensi!$D68:$ND68,"C",Absensi!$D$2:$ND$2,M$6)</f>
        <v>0</v>
      </c>
      <c r="N70">
        <f>COUNTIFS(Absensi!$D68:$ND68,"C",Absensi!$D$2:$ND$2,N$6)</f>
        <v>0</v>
      </c>
      <c r="O70">
        <f>COUNTIFS(Absensi!$D68:$ND68,"C",Absensi!$D$2:$ND$2,O$6)</f>
        <v>0</v>
      </c>
      <c r="P70">
        <f>COUNTIFS(Absensi!$D68:$ND68,"C",Absensi!$D$2:$ND$2,P$6)</f>
        <v>0</v>
      </c>
      <c r="Q70">
        <f>COUNTIFS(Absensi!$D68:$ND68,"CS",Absensi!$D$2:$ND$2,Q$6)</f>
        <v>0</v>
      </c>
      <c r="R70">
        <f>COUNTIFS(Absensi!$D68:$ND68,"CS",Absensi!$D$2:$ND$2,R$6)</f>
        <v>0</v>
      </c>
      <c r="S70">
        <f>COUNTIFS(Absensi!$D68:$ND68,"CS",Absensi!$D$2:$ND$2,S$6)</f>
        <v>0</v>
      </c>
      <c r="T70">
        <f>COUNTIFS(Absensi!$D68:$ND68,"CS",Absensi!$D$2:$ND$2,T$6)</f>
        <v>0</v>
      </c>
      <c r="U70">
        <f>COUNTIFS(Absensi!$D68:$ND68,"CS",Absensi!$D$2:$ND$2,U$6)</f>
        <v>0</v>
      </c>
      <c r="V70">
        <f>COUNTIFS(Absensi!$D68:$ND68,"CS",Absensi!$D$2:$ND$2,V$6)</f>
        <v>0</v>
      </c>
      <c r="W70">
        <f>COUNTIFS(Absensi!$D68:$ND68,"CS",Absensi!$D$2:$ND$2,W$6)</f>
        <v>0</v>
      </c>
      <c r="X70">
        <f>COUNTIFS(Absensi!$D68:$ND68,"CS",Absensi!$D$2:$ND$2,X$6)</f>
        <v>0</v>
      </c>
      <c r="Y70">
        <f>COUNTIFS(Absensi!$D68:$ND68,"CS",Absensi!$D$2:$ND$2,Y$6)</f>
        <v>0</v>
      </c>
      <c r="Z70">
        <f>COUNTIFS(Absensi!$D68:$ND68,"CS",Absensi!$D$2:$ND$2,Z$6)</f>
        <v>0</v>
      </c>
      <c r="AA70">
        <f>COUNTIFS(Absensi!$D68:$ND68,"CS",Absensi!$D$2:$ND$2,AA$6)</f>
        <v>0</v>
      </c>
      <c r="AB70">
        <f>COUNTIFS(Absensi!$D68:$ND68,"CS",Absensi!$D$2:$ND$2,AB$6)</f>
        <v>0</v>
      </c>
      <c r="AC70">
        <f t="shared" si="2"/>
        <v>11</v>
      </c>
      <c r="AD70">
        <f t="shared" si="3"/>
        <v>11</v>
      </c>
      <c r="AE70">
        <f t="shared" si="4"/>
        <v>7</v>
      </c>
      <c r="AF70">
        <f t="shared" si="5"/>
        <v>5</v>
      </c>
      <c r="AG70">
        <f t="shared" si="6"/>
        <v>0</v>
      </c>
      <c r="AH70">
        <f t="shared" si="7"/>
        <v>0</v>
      </c>
      <c r="AI70">
        <f t="shared" si="8"/>
        <v>-1</v>
      </c>
      <c r="AJ70">
        <f t="shared" si="9"/>
        <v>-2</v>
      </c>
      <c r="AK70">
        <f t="shared" si="10"/>
        <v>-2</v>
      </c>
      <c r="AL70">
        <f t="shared" si="11"/>
        <v>-2</v>
      </c>
      <c r="AM70">
        <f t="shared" si="12"/>
        <v>-2</v>
      </c>
      <c r="AN70">
        <f t="shared" si="13"/>
        <v>-2</v>
      </c>
    </row>
    <row r="71" spans="1:40" x14ac:dyDescent="0.25">
      <c r="A71" s="26">
        <v>65</v>
      </c>
      <c r="B71" s="27" t="str">
        <f>Absensi!B69</f>
        <v>Set Up</v>
      </c>
      <c r="C71" s="27" t="str">
        <f>Rekap!C71</f>
        <v>Khaeril Haq</v>
      </c>
      <c r="D71" s="46" t="str">
        <f t="shared" si="1"/>
        <v>Set UpKhaeril Haq</v>
      </c>
      <c r="E71">
        <f>COUNTIFS(Absensi!$D69:$ND69,"C",Absensi!$D$2:$ND$2,E$6)</f>
        <v>0</v>
      </c>
      <c r="F71">
        <f>COUNTIFS(Absensi!$D69:$ND69,"C",Absensi!$D$2:$ND$2,F$6)</f>
        <v>2</v>
      </c>
      <c r="G71">
        <f>COUNTIFS(Absensi!$D69:$ND69,"C",Absensi!$D$2:$ND$2,G$6)</f>
        <v>4</v>
      </c>
      <c r="H71">
        <f>COUNTIFS(Absensi!$D69:$ND69,"C",Absensi!$D$2:$ND$2,H$6)</f>
        <v>1</v>
      </c>
      <c r="I71">
        <f>COUNTIFS(Absensi!$D69:$ND69,"C",Absensi!$D$2:$ND$2,I$6)</f>
        <v>1</v>
      </c>
      <c r="J71">
        <f>COUNTIFS(Absensi!$D69:$ND69,"C",Absensi!$D$2:$ND$2,J$6)</f>
        <v>0</v>
      </c>
      <c r="K71">
        <f>COUNTIFS(Absensi!$D69:$ND69,"C",Absensi!$D$2:$ND$2,K$6)</f>
        <v>0</v>
      </c>
      <c r="L71">
        <f>COUNTIFS(Absensi!$D69:$ND69,"C",Absensi!$D$2:$ND$2,L$6)</f>
        <v>0</v>
      </c>
      <c r="M71">
        <f>COUNTIFS(Absensi!$D69:$ND69,"C",Absensi!$D$2:$ND$2,M$6)</f>
        <v>0</v>
      </c>
      <c r="N71">
        <f>COUNTIFS(Absensi!$D69:$ND69,"C",Absensi!$D$2:$ND$2,N$6)</f>
        <v>0</v>
      </c>
      <c r="O71">
        <f>COUNTIFS(Absensi!$D69:$ND69,"C",Absensi!$D$2:$ND$2,O$6)</f>
        <v>0</v>
      </c>
      <c r="P71">
        <f>COUNTIFS(Absensi!$D69:$ND69,"C",Absensi!$D$2:$ND$2,P$6)</f>
        <v>0</v>
      </c>
      <c r="Q71">
        <f>COUNTIFS(Absensi!$D69:$ND69,"CS",Absensi!$D$2:$ND$2,Q$6)</f>
        <v>0</v>
      </c>
      <c r="R71">
        <f>COUNTIFS(Absensi!$D69:$ND69,"CS",Absensi!$D$2:$ND$2,R$6)</f>
        <v>0</v>
      </c>
      <c r="S71">
        <f>COUNTIFS(Absensi!$D69:$ND69,"CS",Absensi!$D$2:$ND$2,S$6)</f>
        <v>0</v>
      </c>
      <c r="T71">
        <f>COUNTIFS(Absensi!$D69:$ND69,"CS",Absensi!$D$2:$ND$2,T$6)</f>
        <v>0</v>
      </c>
      <c r="U71">
        <f>COUNTIFS(Absensi!$D69:$ND69,"CS",Absensi!$D$2:$ND$2,U$6)</f>
        <v>0</v>
      </c>
      <c r="V71">
        <f>COUNTIFS(Absensi!$D69:$ND69,"CS",Absensi!$D$2:$ND$2,V$6)</f>
        <v>0</v>
      </c>
      <c r="W71">
        <f>COUNTIFS(Absensi!$D69:$ND69,"CS",Absensi!$D$2:$ND$2,W$6)</f>
        <v>0</v>
      </c>
      <c r="X71">
        <f>COUNTIFS(Absensi!$D69:$ND69,"CS",Absensi!$D$2:$ND$2,X$6)</f>
        <v>0</v>
      </c>
      <c r="Y71">
        <f>COUNTIFS(Absensi!$D69:$ND69,"CS",Absensi!$D$2:$ND$2,Y$6)</f>
        <v>0</v>
      </c>
      <c r="Z71">
        <f>COUNTIFS(Absensi!$D69:$ND69,"CS",Absensi!$D$2:$ND$2,Z$6)</f>
        <v>0</v>
      </c>
      <c r="AA71">
        <f>COUNTIFS(Absensi!$D69:$ND69,"CS",Absensi!$D$2:$ND$2,AA$6)</f>
        <v>0</v>
      </c>
      <c r="AB71">
        <f>COUNTIFS(Absensi!$D69:$ND69,"CS",Absensi!$D$2:$ND$2,AB$6)</f>
        <v>0</v>
      </c>
      <c r="AC71">
        <f t="shared" si="2"/>
        <v>12</v>
      </c>
      <c r="AD71">
        <f t="shared" si="3"/>
        <v>10</v>
      </c>
      <c r="AE71">
        <f t="shared" si="4"/>
        <v>6</v>
      </c>
      <c r="AF71">
        <f t="shared" si="5"/>
        <v>5</v>
      </c>
      <c r="AG71">
        <f t="shared" si="6"/>
        <v>4</v>
      </c>
      <c r="AH71">
        <f t="shared" si="7"/>
        <v>4</v>
      </c>
      <c r="AI71">
        <f t="shared" si="8"/>
        <v>4</v>
      </c>
      <c r="AJ71">
        <f t="shared" si="9"/>
        <v>4</v>
      </c>
      <c r="AK71">
        <f t="shared" si="10"/>
        <v>4</v>
      </c>
      <c r="AL71">
        <f t="shared" si="11"/>
        <v>4</v>
      </c>
      <c r="AM71">
        <f t="shared" si="12"/>
        <v>4</v>
      </c>
      <c r="AN71">
        <f t="shared" si="13"/>
        <v>4</v>
      </c>
    </row>
    <row r="72" spans="1:40" x14ac:dyDescent="0.25">
      <c r="A72" s="26">
        <v>66</v>
      </c>
      <c r="B72" s="27" t="str">
        <f>Absensi!B70</f>
        <v>Set Up</v>
      </c>
      <c r="C72" s="27" t="str">
        <f>Rekap!C72</f>
        <v>vincentius deddy</v>
      </c>
      <c r="D72" s="46" t="str">
        <f t="shared" si="1"/>
        <v>Set Upvincentius deddy</v>
      </c>
      <c r="E72">
        <f>COUNTIFS(Absensi!$D70:$ND70,"C",Absensi!$D$2:$ND$2,E$6)</f>
        <v>0</v>
      </c>
      <c r="F72">
        <f>COUNTIFS(Absensi!$D70:$ND70,"C",Absensi!$D$2:$ND$2,F$6)</f>
        <v>0</v>
      </c>
      <c r="G72">
        <f>COUNTIFS(Absensi!$D70:$ND70,"C",Absensi!$D$2:$ND$2,G$6)</f>
        <v>0</v>
      </c>
      <c r="H72">
        <f>COUNTIFS(Absensi!$D70:$ND70,"C",Absensi!$D$2:$ND$2,H$6)</f>
        <v>0</v>
      </c>
      <c r="I72">
        <f>COUNTIFS(Absensi!$D70:$ND70,"C",Absensi!$D$2:$ND$2,I$6)</f>
        <v>0</v>
      </c>
      <c r="J72">
        <f>COUNTIFS(Absensi!$D70:$ND70,"C",Absensi!$D$2:$ND$2,J$6)</f>
        <v>0</v>
      </c>
      <c r="K72">
        <f>COUNTIFS(Absensi!$D70:$ND70,"C",Absensi!$D$2:$ND$2,K$6)</f>
        <v>0</v>
      </c>
      <c r="L72">
        <f>COUNTIFS(Absensi!$D70:$ND70,"C",Absensi!$D$2:$ND$2,L$6)</f>
        <v>0</v>
      </c>
      <c r="M72">
        <f>COUNTIFS(Absensi!$D70:$ND70,"C",Absensi!$D$2:$ND$2,M$6)</f>
        <v>0</v>
      </c>
      <c r="N72">
        <f>COUNTIFS(Absensi!$D70:$ND70,"C",Absensi!$D$2:$ND$2,N$6)</f>
        <v>0</v>
      </c>
      <c r="O72">
        <f>COUNTIFS(Absensi!$D70:$ND70,"C",Absensi!$D$2:$ND$2,O$6)</f>
        <v>0</v>
      </c>
      <c r="P72">
        <f>COUNTIFS(Absensi!$D70:$ND70,"C",Absensi!$D$2:$ND$2,P$6)</f>
        <v>0</v>
      </c>
      <c r="Q72">
        <f>COUNTIFS(Absensi!$D70:$ND70,"CS",Absensi!$D$2:$ND$2,Q$6)</f>
        <v>0</v>
      </c>
      <c r="R72">
        <f>COUNTIFS(Absensi!$D70:$ND70,"CS",Absensi!$D$2:$ND$2,R$6)</f>
        <v>0</v>
      </c>
      <c r="S72">
        <f>COUNTIFS(Absensi!$D70:$ND70,"CS",Absensi!$D$2:$ND$2,S$6)</f>
        <v>0</v>
      </c>
      <c r="T72">
        <f>COUNTIFS(Absensi!$D70:$ND70,"CS",Absensi!$D$2:$ND$2,T$6)</f>
        <v>0</v>
      </c>
      <c r="U72">
        <f>COUNTIFS(Absensi!$D70:$ND70,"CS",Absensi!$D$2:$ND$2,U$6)</f>
        <v>0</v>
      </c>
      <c r="V72">
        <f>COUNTIFS(Absensi!$D70:$ND70,"CS",Absensi!$D$2:$ND$2,V$6)</f>
        <v>0</v>
      </c>
      <c r="W72">
        <f>COUNTIFS(Absensi!$D70:$ND70,"CS",Absensi!$D$2:$ND$2,W$6)</f>
        <v>0</v>
      </c>
      <c r="X72">
        <f>COUNTIFS(Absensi!$D70:$ND70,"CS",Absensi!$D$2:$ND$2,X$6)</f>
        <v>0</v>
      </c>
      <c r="Y72">
        <f>COUNTIFS(Absensi!$D70:$ND70,"CS",Absensi!$D$2:$ND$2,Y$6)</f>
        <v>0</v>
      </c>
      <c r="Z72">
        <f>COUNTIFS(Absensi!$D70:$ND70,"CS",Absensi!$D$2:$ND$2,Z$6)</f>
        <v>0</v>
      </c>
      <c r="AA72">
        <f>COUNTIFS(Absensi!$D70:$ND70,"CS",Absensi!$D$2:$ND$2,AA$6)</f>
        <v>0</v>
      </c>
      <c r="AB72">
        <f>COUNTIFS(Absensi!$D70:$ND70,"CS",Absensi!$D$2:$ND$2,AB$6)</f>
        <v>0</v>
      </c>
      <c r="AC72">
        <f t="shared" ref="AC72:AC135" si="14">12-E72-Q72*0.5</f>
        <v>12</v>
      </c>
      <c r="AD72">
        <f t="shared" ref="AD72:AD135" si="15">AC72-F72-R72*0.5</f>
        <v>12</v>
      </c>
      <c r="AE72">
        <f t="shared" ref="AE72:AE135" si="16">AD72-G72-S72*0.5</f>
        <v>12</v>
      </c>
      <c r="AF72">
        <f t="shared" ref="AF72:AF135" si="17">AE72-H72-T72*0.5</f>
        <v>12</v>
      </c>
      <c r="AG72">
        <f t="shared" ref="AG72:AG135" si="18">AF72-I72-U72*0.5</f>
        <v>12</v>
      </c>
      <c r="AH72">
        <f t="shared" ref="AH72:AH135" si="19">AG72-J72-V72*0.5</f>
        <v>12</v>
      </c>
      <c r="AI72">
        <f t="shared" ref="AI72:AI135" si="20">AH72-K72-W72*0.5</f>
        <v>12</v>
      </c>
      <c r="AJ72">
        <f t="shared" ref="AJ72:AJ135" si="21">AI72-L72-X72*0.5</f>
        <v>12</v>
      </c>
      <c r="AK72">
        <f t="shared" ref="AK72:AK135" si="22">AJ72-M72-Y72*0.5</f>
        <v>12</v>
      </c>
      <c r="AL72">
        <f t="shared" ref="AL72:AL135" si="23">AK72-N72-Z72*0.5</f>
        <v>12</v>
      </c>
      <c r="AM72">
        <f t="shared" ref="AM72:AM135" si="24">AL72-O72-AA72*0.5</f>
        <v>12</v>
      </c>
      <c r="AN72">
        <f t="shared" ref="AN72:AN135" si="25">AM72-P72-AB72*0.5</f>
        <v>12</v>
      </c>
    </row>
    <row r="73" spans="1:40" x14ac:dyDescent="0.25">
      <c r="A73" s="26">
        <v>67</v>
      </c>
      <c r="B73" s="27" t="str">
        <f>Absensi!B71</f>
        <v>Set Up</v>
      </c>
      <c r="C73" s="27" t="str">
        <f>Rekap!C73</f>
        <v>kurniawan</v>
      </c>
      <c r="D73" s="46" t="str">
        <f t="shared" ref="D73:D138" si="26">B73&amp;C73</f>
        <v>Set Upkurniawan</v>
      </c>
      <c r="E73">
        <f>COUNTIFS(Absensi!$D71:$ND71,"C",Absensi!$D$2:$ND$2,E$6)</f>
        <v>0</v>
      </c>
      <c r="F73">
        <f>COUNTIFS(Absensi!$D71:$ND71,"C",Absensi!$D$2:$ND$2,F$6)</f>
        <v>0</v>
      </c>
      <c r="G73">
        <f>COUNTIFS(Absensi!$D71:$ND71,"C",Absensi!$D$2:$ND$2,G$6)</f>
        <v>3</v>
      </c>
      <c r="H73">
        <f>COUNTIFS(Absensi!$D71:$ND71,"C",Absensi!$D$2:$ND$2,H$6)</f>
        <v>0</v>
      </c>
      <c r="I73">
        <f>COUNTIFS(Absensi!$D71:$ND71,"C",Absensi!$D$2:$ND$2,I$6)</f>
        <v>0</v>
      </c>
      <c r="J73">
        <f>COUNTIFS(Absensi!$D71:$ND71,"C",Absensi!$D$2:$ND$2,J$6)</f>
        <v>4</v>
      </c>
      <c r="K73">
        <f>COUNTIFS(Absensi!$D71:$ND71,"C",Absensi!$D$2:$ND$2,K$6)</f>
        <v>0</v>
      </c>
      <c r="L73">
        <f>COUNTIFS(Absensi!$D71:$ND71,"C",Absensi!$D$2:$ND$2,L$6)</f>
        <v>0</v>
      </c>
      <c r="M73">
        <f>COUNTIFS(Absensi!$D71:$ND71,"C",Absensi!$D$2:$ND$2,M$6)</f>
        <v>0</v>
      </c>
      <c r="N73">
        <f>COUNTIFS(Absensi!$D71:$ND71,"C",Absensi!$D$2:$ND$2,N$6)</f>
        <v>0</v>
      </c>
      <c r="O73">
        <f>COUNTIFS(Absensi!$D71:$ND71,"C",Absensi!$D$2:$ND$2,O$6)</f>
        <v>0</v>
      </c>
      <c r="P73">
        <f>COUNTIFS(Absensi!$D71:$ND71,"C",Absensi!$D$2:$ND$2,P$6)</f>
        <v>0</v>
      </c>
      <c r="Q73">
        <f>COUNTIFS(Absensi!$D71:$ND71,"CS",Absensi!$D$2:$ND$2,Q$6)</f>
        <v>0</v>
      </c>
      <c r="R73">
        <f>COUNTIFS(Absensi!$D71:$ND71,"CS",Absensi!$D$2:$ND$2,R$6)</f>
        <v>0</v>
      </c>
      <c r="S73">
        <f>COUNTIFS(Absensi!$D71:$ND71,"CS",Absensi!$D$2:$ND$2,S$6)</f>
        <v>0</v>
      </c>
      <c r="T73">
        <f>COUNTIFS(Absensi!$D71:$ND71,"CS",Absensi!$D$2:$ND$2,T$6)</f>
        <v>0</v>
      </c>
      <c r="U73">
        <f>COUNTIFS(Absensi!$D71:$ND71,"CS",Absensi!$D$2:$ND$2,U$6)</f>
        <v>0</v>
      </c>
      <c r="V73">
        <f>COUNTIFS(Absensi!$D71:$ND71,"CS",Absensi!$D$2:$ND$2,V$6)</f>
        <v>0</v>
      </c>
      <c r="W73">
        <f>COUNTIFS(Absensi!$D71:$ND71,"CS",Absensi!$D$2:$ND$2,W$6)</f>
        <v>0</v>
      </c>
      <c r="X73">
        <f>COUNTIFS(Absensi!$D71:$ND71,"CS",Absensi!$D$2:$ND$2,X$6)</f>
        <v>0</v>
      </c>
      <c r="Y73">
        <f>COUNTIFS(Absensi!$D71:$ND71,"CS",Absensi!$D$2:$ND$2,Y$6)</f>
        <v>0</v>
      </c>
      <c r="Z73">
        <f>COUNTIFS(Absensi!$D71:$ND71,"CS",Absensi!$D$2:$ND$2,Z$6)</f>
        <v>0</v>
      </c>
      <c r="AA73">
        <f>COUNTIFS(Absensi!$D71:$ND71,"CS",Absensi!$D$2:$ND$2,AA$6)</f>
        <v>0</v>
      </c>
      <c r="AB73">
        <f>COUNTIFS(Absensi!$D71:$ND71,"CS",Absensi!$D$2:$ND$2,AB$6)</f>
        <v>0</v>
      </c>
      <c r="AC73">
        <f t="shared" si="14"/>
        <v>12</v>
      </c>
      <c r="AD73">
        <f t="shared" si="15"/>
        <v>12</v>
      </c>
      <c r="AE73">
        <f t="shared" si="16"/>
        <v>9</v>
      </c>
      <c r="AF73">
        <f t="shared" si="17"/>
        <v>9</v>
      </c>
      <c r="AG73">
        <f t="shared" si="18"/>
        <v>9</v>
      </c>
      <c r="AH73">
        <f t="shared" si="19"/>
        <v>5</v>
      </c>
      <c r="AI73">
        <f t="shared" si="20"/>
        <v>5</v>
      </c>
      <c r="AJ73">
        <f t="shared" si="21"/>
        <v>5</v>
      </c>
      <c r="AK73">
        <f t="shared" si="22"/>
        <v>5</v>
      </c>
      <c r="AL73">
        <f t="shared" si="23"/>
        <v>5</v>
      </c>
      <c r="AM73">
        <f t="shared" si="24"/>
        <v>5</v>
      </c>
      <c r="AN73">
        <f t="shared" si="25"/>
        <v>5</v>
      </c>
    </row>
    <row r="74" spans="1:40" x14ac:dyDescent="0.25">
      <c r="A74" s="26">
        <v>68</v>
      </c>
      <c r="B74" s="27" t="str">
        <f>Absensi!B72</f>
        <v>Set Up</v>
      </c>
      <c r="C74" s="27" t="str">
        <f>Rekap!C74</f>
        <v>Sugi</v>
      </c>
      <c r="D74" s="46" t="str">
        <f t="shared" si="26"/>
        <v>Set UpSugi</v>
      </c>
      <c r="E74">
        <f>COUNTIFS(Absensi!$D72:$ND72,"C",Absensi!$D$2:$ND$2,E$6)</f>
        <v>3</v>
      </c>
      <c r="F74">
        <f>COUNTIFS(Absensi!$D72:$ND72,"C",Absensi!$D$2:$ND$2,F$6)</f>
        <v>0</v>
      </c>
      <c r="G74">
        <f>COUNTIFS(Absensi!$D72:$ND72,"C",Absensi!$D$2:$ND$2,G$6)</f>
        <v>3</v>
      </c>
      <c r="H74">
        <f>COUNTIFS(Absensi!$D72:$ND72,"C",Absensi!$D$2:$ND$2,H$6)</f>
        <v>0</v>
      </c>
      <c r="I74">
        <f>COUNTIFS(Absensi!$D72:$ND72,"C",Absensi!$D$2:$ND$2,I$6)</f>
        <v>0</v>
      </c>
      <c r="J74">
        <f>COUNTIFS(Absensi!$D72:$ND72,"C",Absensi!$D$2:$ND$2,J$6)</f>
        <v>3</v>
      </c>
      <c r="K74">
        <f>COUNTIFS(Absensi!$D72:$ND72,"C",Absensi!$D$2:$ND$2,K$6)</f>
        <v>1</v>
      </c>
      <c r="L74">
        <f>COUNTIFS(Absensi!$D72:$ND72,"C",Absensi!$D$2:$ND$2,L$6)</f>
        <v>2</v>
      </c>
      <c r="M74">
        <f>COUNTIFS(Absensi!$D72:$ND72,"C",Absensi!$D$2:$ND$2,M$6)</f>
        <v>2</v>
      </c>
      <c r="N74">
        <f>COUNTIFS(Absensi!$D72:$ND72,"C",Absensi!$D$2:$ND$2,N$6)</f>
        <v>0</v>
      </c>
      <c r="O74">
        <f>COUNTIFS(Absensi!$D72:$ND72,"C",Absensi!$D$2:$ND$2,O$6)</f>
        <v>0</v>
      </c>
      <c r="P74">
        <f>COUNTIFS(Absensi!$D72:$ND72,"C",Absensi!$D$2:$ND$2,P$6)</f>
        <v>0</v>
      </c>
      <c r="Q74">
        <f>COUNTIFS(Absensi!$D72:$ND72,"CS",Absensi!$D$2:$ND$2,Q$6)</f>
        <v>0</v>
      </c>
      <c r="R74">
        <f>COUNTIFS(Absensi!$D72:$ND72,"CS",Absensi!$D$2:$ND$2,R$6)</f>
        <v>0</v>
      </c>
      <c r="S74">
        <f>COUNTIFS(Absensi!$D72:$ND72,"CS",Absensi!$D$2:$ND$2,S$6)</f>
        <v>0</v>
      </c>
      <c r="T74">
        <f>COUNTIFS(Absensi!$D72:$ND72,"CS",Absensi!$D$2:$ND$2,T$6)</f>
        <v>0</v>
      </c>
      <c r="U74">
        <f>COUNTIFS(Absensi!$D72:$ND72,"CS",Absensi!$D$2:$ND$2,U$6)</f>
        <v>0</v>
      </c>
      <c r="V74">
        <f>COUNTIFS(Absensi!$D72:$ND72,"CS",Absensi!$D$2:$ND$2,V$6)</f>
        <v>0</v>
      </c>
      <c r="W74">
        <f>COUNTIFS(Absensi!$D72:$ND72,"CS",Absensi!$D$2:$ND$2,W$6)</f>
        <v>0</v>
      </c>
      <c r="X74">
        <f>COUNTIFS(Absensi!$D72:$ND72,"CS",Absensi!$D$2:$ND$2,X$6)</f>
        <v>0</v>
      </c>
      <c r="Y74">
        <f>COUNTIFS(Absensi!$D72:$ND72,"CS",Absensi!$D$2:$ND$2,Y$6)</f>
        <v>0</v>
      </c>
      <c r="Z74">
        <f>COUNTIFS(Absensi!$D72:$ND72,"CS",Absensi!$D$2:$ND$2,Z$6)</f>
        <v>0</v>
      </c>
      <c r="AA74">
        <f>COUNTIFS(Absensi!$D72:$ND72,"CS",Absensi!$D$2:$ND$2,AA$6)</f>
        <v>0</v>
      </c>
      <c r="AB74">
        <f>COUNTIFS(Absensi!$D72:$ND72,"CS",Absensi!$D$2:$ND$2,AB$6)</f>
        <v>0</v>
      </c>
      <c r="AC74">
        <f t="shared" si="14"/>
        <v>9</v>
      </c>
      <c r="AD74">
        <f t="shared" si="15"/>
        <v>9</v>
      </c>
      <c r="AE74">
        <f t="shared" si="16"/>
        <v>6</v>
      </c>
      <c r="AF74">
        <f t="shared" si="17"/>
        <v>6</v>
      </c>
      <c r="AG74">
        <f t="shared" si="18"/>
        <v>6</v>
      </c>
      <c r="AH74">
        <f t="shared" si="19"/>
        <v>3</v>
      </c>
      <c r="AI74">
        <f t="shared" si="20"/>
        <v>2</v>
      </c>
      <c r="AJ74">
        <f t="shared" si="21"/>
        <v>0</v>
      </c>
      <c r="AK74">
        <f t="shared" si="22"/>
        <v>-2</v>
      </c>
      <c r="AL74">
        <f t="shared" si="23"/>
        <v>-2</v>
      </c>
      <c r="AM74">
        <f t="shared" si="24"/>
        <v>-2</v>
      </c>
      <c r="AN74">
        <f t="shared" si="25"/>
        <v>-2</v>
      </c>
    </row>
    <row r="75" spans="1:40" x14ac:dyDescent="0.25">
      <c r="A75" s="26">
        <v>69</v>
      </c>
      <c r="B75" s="27" t="str">
        <f>Absensi!B73</f>
        <v>Set Up</v>
      </c>
      <c r="C75" s="27" t="str">
        <f>Rekap!C75</f>
        <v>alfandi</v>
      </c>
      <c r="D75" s="46" t="str">
        <f t="shared" si="26"/>
        <v>Set Upalfandi</v>
      </c>
      <c r="E75">
        <f>COUNTIFS(Absensi!$D73:$ND73,"C",Absensi!$D$2:$ND$2,E$6)</f>
        <v>0</v>
      </c>
      <c r="F75">
        <f>COUNTIFS(Absensi!$D73:$ND73,"C",Absensi!$D$2:$ND$2,F$6)</f>
        <v>0</v>
      </c>
      <c r="G75">
        <f>COUNTIFS(Absensi!$D73:$ND73,"C",Absensi!$D$2:$ND$2,G$6)</f>
        <v>0</v>
      </c>
      <c r="H75">
        <f>COUNTIFS(Absensi!$D73:$ND73,"C",Absensi!$D$2:$ND$2,H$6)</f>
        <v>0</v>
      </c>
      <c r="I75">
        <f>COUNTIFS(Absensi!$D73:$ND73,"C",Absensi!$D$2:$ND$2,I$6)</f>
        <v>0</v>
      </c>
      <c r="J75">
        <f>COUNTIFS(Absensi!$D73:$ND73,"C",Absensi!$D$2:$ND$2,J$6)</f>
        <v>0</v>
      </c>
      <c r="K75">
        <f>COUNTIFS(Absensi!$D73:$ND73,"C",Absensi!$D$2:$ND$2,K$6)</f>
        <v>0</v>
      </c>
      <c r="L75">
        <f>COUNTIFS(Absensi!$D73:$ND73,"C",Absensi!$D$2:$ND$2,L$6)</f>
        <v>0</v>
      </c>
      <c r="M75">
        <f>COUNTIFS(Absensi!$D73:$ND73,"C",Absensi!$D$2:$ND$2,M$6)</f>
        <v>0</v>
      </c>
      <c r="N75">
        <f>COUNTIFS(Absensi!$D73:$ND73,"C",Absensi!$D$2:$ND$2,N$6)</f>
        <v>0</v>
      </c>
      <c r="O75">
        <f>COUNTIFS(Absensi!$D73:$ND73,"C",Absensi!$D$2:$ND$2,O$6)</f>
        <v>0</v>
      </c>
      <c r="P75">
        <f>COUNTIFS(Absensi!$D73:$ND73,"C",Absensi!$D$2:$ND$2,P$6)</f>
        <v>0</v>
      </c>
      <c r="Q75">
        <f>COUNTIFS(Absensi!$D73:$ND73,"CS",Absensi!$D$2:$ND$2,Q$6)</f>
        <v>0</v>
      </c>
      <c r="R75">
        <f>COUNTIFS(Absensi!$D73:$ND73,"CS",Absensi!$D$2:$ND$2,R$6)</f>
        <v>0</v>
      </c>
      <c r="S75">
        <f>COUNTIFS(Absensi!$D73:$ND73,"CS",Absensi!$D$2:$ND$2,S$6)</f>
        <v>0</v>
      </c>
      <c r="T75">
        <f>COUNTIFS(Absensi!$D73:$ND73,"CS",Absensi!$D$2:$ND$2,T$6)</f>
        <v>0</v>
      </c>
      <c r="U75">
        <f>COUNTIFS(Absensi!$D73:$ND73,"CS",Absensi!$D$2:$ND$2,U$6)</f>
        <v>0</v>
      </c>
      <c r="V75">
        <f>COUNTIFS(Absensi!$D73:$ND73,"CS",Absensi!$D$2:$ND$2,V$6)</f>
        <v>0</v>
      </c>
      <c r="W75">
        <f>COUNTIFS(Absensi!$D73:$ND73,"CS",Absensi!$D$2:$ND$2,W$6)</f>
        <v>0</v>
      </c>
      <c r="X75">
        <f>COUNTIFS(Absensi!$D73:$ND73,"CS",Absensi!$D$2:$ND$2,X$6)</f>
        <v>0</v>
      </c>
      <c r="Y75">
        <f>COUNTIFS(Absensi!$D73:$ND73,"CS",Absensi!$D$2:$ND$2,Y$6)</f>
        <v>0</v>
      </c>
      <c r="Z75">
        <f>COUNTIFS(Absensi!$D73:$ND73,"CS",Absensi!$D$2:$ND$2,Z$6)</f>
        <v>0</v>
      </c>
      <c r="AA75">
        <f>COUNTIFS(Absensi!$D73:$ND73,"CS",Absensi!$D$2:$ND$2,AA$6)</f>
        <v>0</v>
      </c>
      <c r="AB75">
        <f>COUNTIFS(Absensi!$D73:$ND73,"CS",Absensi!$D$2:$ND$2,AB$6)</f>
        <v>0</v>
      </c>
      <c r="AC75">
        <f t="shared" si="14"/>
        <v>12</v>
      </c>
      <c r="AD75">
        <f t="shared" si="15"/>
        <v>12</v>
      </c>
      <c r="AE75">
        <f t="shared" si="16"/>
        <v>12</v>
      </c>
      <c r="AF75">
        <f t="shared" si="17"/>
        <v>12</v>
      </c>
      <c r="AG75">
        <f t="shared" si="18"/>
        <v>12</v>
      </c>
      <c r="AH75">
        <f t="shared" si="19"/>
        <v>12</v>
      </c>
      <c r="AI75">
        <f t="shared" si="20"/>
        <v>12</v>
      </c>
      <c r="AJ75">
        <f t="shared" si="21"/>
        <v>12</v>
      </c>
      <c r="AK75">
        <f t="shared" si="22"/>
        <v>12</v>
      </c>
      <c r="AL75">
        <f t="shared" si="23"/>
        <v>12</v>
      </c>
      <c r="AM75">
        <f t="shared" si="24"/>
        <v>12</v>
      </c>
      <c r="AN75">
        <f t="shared" si="25"/>
        <v>12</v>
      </c>
    </row>
    <row r="76" spans="1:40" x14ac:dyDescent="0.25">
      <c r="A76" s="26">
        <v>70</v>
      </c>
      <c r="B76" s="27" t="str">
        <f>Absensi!B74</f>
        <v>Set Up</v>
      </c>
      <c r="C76" s="27" t="str">
        <f>Rekap!C76</f>
        <v>ayuning</v>
      </c>
      <c r="D76" s="46" t="str">
        <f t="shared" si="26"/>
        <v>Set Upayuning</v>
      </c>
      <c r="E76">
        <f>COUNTIFS(Absensi!$D74:$ND74,"C",Absensi!$D$2:$ND$2,E$6)</f>
        <v>0</v>
      </c>
      <c r="F76">
        <f>COUNTIFS(Absensi!$D74:$ND74,"C",Absensi!$D$2:$ND$2,F$6)</f>
        <v>0</v>
      </c>
      <c r="G76">
        <f>COUNTIFS(Absensi!$D74:$ND74,"C",Absensi!$D$2:$ND$2,G$6)</f>
        <v>0</v>
      </c>
      <c r="H76">
        <f>COUNTIFS(Absensi!$D74:$ND74,"C",Absensi!$D$2:$ND$2,H$6)</f>
        <v>0</v>
      </c>
      <c r="I76">
        <f>COUNTIFS(Absensi!$D74:$ND74,"C",Absensi!$D$2:$ND$2,I$6)</f>
        <v>0</v>
      </c>
      <c r="J76">
        <f>COUNTIFS(Absensi!$D74:$ND74,"C",Absensi!$D$2:$ND$2,J$6)</f>
        <v>0</v>
      </c>
      <c r="K76">
        <f>COUNTIFS(Absensi!$D74:$ND74,"C",Absensi!$D$2:$ND$2,K$6)</f>
        <v>0</v>
      </c>
      <c r="L76">
        <f>COUNTIFS(Absensi!$D74:$ND74,"C",Absensi!$D$2:$ND$2,L$6)</f>
        <v>0</v>
      </c>
      <c r="M76">
        <f>COUNTIFS(Absensi!$D74:$ND74,"C",Absensi!$D$2:$ND$2,M$6)</f>
        <v>0</v>
      </c>
      <c r="N76">
        <f>COUNTIFS(Absensi!$D74:$ND74,"C",Absensi!$D$2:$ND$2,N$6)</f>
        <v>0</v>
      </c>
      <c r="O76">
        <f>COUNTIFS(Absensi!$D74:$ND74,"C",Absensi!$D$2:$ND$2,O$6)</f>
        <v>0</v>
      </c>
      <c r="P76">
        <f>COUNTIFS(Absensi!$D74:$ND74,"C",Absensi!$D$2:$ND$2,P$6)</f>
        <v>0</v>
      </c>
      <c r="Q76">
        <f>COUNTIFS(Absensi!$D74:$ND74,"CS",Absensi!$D$2:$ND$2,Q$6)</f>
        <v>0</v>
      </c>
      <c r="R76">
        <f>COUNTIFS(Absensi!$D74:$ND74,"CS",Absensi!$D$2:$ND$2,R$6)</f>
        <v>0</v>
      </c>
      <c r="S76">
        <f>COUNTIFS(Absensi!$D74:$ND74,"CS",Absensi!$D$2:$ND$2,S$6)</f>
        <v>0</v>
      </c>
      <c r="T76">
        <f>COUNTIFS(Absensi!$D74:$ND74,"CS",Absensi!$D$2:$ND$2,T$6)</f>
        <v>0</v>
      </c>
      <c r="U76">
        <f>COUNTIFS(Absensi!$D74:$ND74,"CS",Absensi!$D$2:$ND$2,U$6)</f>
        <v>0</v>
      </c>
      <c r="V76">
        <f>COUNTIFS(Absensi!$D74:$ND74,"CS",Absensi!$D$2:$ND$2,V$6)</f>
        <v>0</v>
      </c>
      <c r="W76">
        <f>COUNTIFS(Absensi!$D74:$ND74,"CS",Absensi!$D$2:$ND$2,W$6)</f>
        <v>0</v>
      </c>
      <c r="X76">
        <f>COUNTIFS(Absensi!$D74:$ND74,"CS",Absensi!$D$2:$ND$2,X$6)</f>
        <v>0</v>
      </c>
      <c r="Y76">
        <f>COUNTIFS(Absensi!$D74:$ND74,"CS",Absensi!$D$2:$ND$2,Y$6)</f>
        <v>0</v>
      </c>
      <c r="Z76">
        <f>COUNTIFS(Absensi!$D74:$ND74,"CS",Absensi!$D$2:$ND$2,Z$6)</f>
        <v>0</v>
      </c>
      <c r="AA76">
        <f>COUNTIFS(Absensi!$D74:$ND74,"CS",Absensi!$D$2:$ND$2,AA$6)</f>
        <v>0</v>
      </c>
      <c r="AB76">
        <f>COUNTIFS(Absensi!$D74:$ND74,"CS",Absensi!$D$2:$ND$2,AB$6)</f>
        <v>0</v>
      </c>
      <c r="AC76">
        <f t="shared" si="14"/>
        <v>12</v>
      </c>
      <c r="AD76">
        <f t="shared" si="15"/>
        <v>12</v>
      </c>
      <c r="AE76">
        <f t="shared" si="16"/>
        <v>12</v>
      </c>
      <c r="AF76">
        <f t="shared" si="17"/>
        <v>12</v>
      </c>
      <c r="AG76">
        <f t="shared" si="18"/>
        <v>12</v>
      </c>
      <c r="AH76">
        <f t="shared" si="19"/>
        <v>12</v>
      </c>
      <c r="AI76">
        <f t="shared" si="20"/>
        <v>12</v>
      </c>
      <c r="AJ76">
        <f t="shared" si="21"/>
        <v>12</v>
      </c>
      <c r="AK76">
        <f t="shared" si="22"/>
        <v>12</v>
      </c>
      <c r="AL76">
        <f t="shared" si="23"/>
        <v>12</v>
      </c>
      <c r="AM76">
        <f t="shared" si="24"/>
        <v>12</v>
      </c>
      <c r="AN76">
        <f t="shared" si="25"/>
        <v>12</v>
      </c>
    </row>
    <row r="77" spans="1:40" x14ac:dyDescent="0.25">
      <c r="A77" s="26">
        <v>71</v>
      </c>
      <c r="B77" s="27" t="str">
        <f>Absensi!B75</f>
        <v>Set Up</v>
      </c>
      <c r="C77" s="27" t="str">
        <f>Rekap!C77</f>
        <v>Egi</v>
      </c>
      <c r="D77" s="46" t="str">
        <f t="shared" si="26"/>
        <v>Set UpEgi</v>
      </c>
      <c r="E77">
        <f>COUNTIFS(Absensi!$D75:$ND75,"C",Absensi!$D$2:$ND$2,E$6)</f>
        <v>12</v>
      </c>
      <c r="F77">
        <f>COUNTIFS(Absensi!$D75:$ND75,"C",Absensi!$D$2:$ND$2,F$6)</f>
        <v>0</v>
      </c>
      <c r="G77">
        <f>COUNTIFS(Absensi!$D75:$ND75,"C",Absensi!$D$2:$ND$2,G$6)</f>
        <v>1</v>
      </c>
      <c r="H77">
        <f>COUNTIFS(Absensi!$D75:$ND75,"C",Absensi!$D$2:$ND$2,H$6)</f>
        <v>0</v>
      </c>
      <c r="I77">
        <f>COUNTIFS(Absensi!$D75:$ND75,"C",Absensi!$D$2:$ND$2,I$6)</f>
        <v>1</v>
      </c>
      <c r="J77">
        <f>COUNTIFS(Absensi!$D75:$ND75,"C",Absensi!$D$2:$ND$2,J$6)</f>
        <v>0</v>
      </c>
      <c r="K77">
        <f>COUNTIFS(Absensi!$D75:$ND75,"C",Absensi!$D$2:$ND$2,K$6)</f>
        <v>1</v>
      </c>
      <c r="L77">
        <f>COUNTIFS(Absensi!$D75:$ND75,"C",Absensi!$D$2:$ND$2,L$6)</f>
        <v>1</v>
      </c>
      <c r="M77">
        <f>COUNTIFS(Absensi!$D75:$ND75,"C",Absensi!$D$2:$ND$2,M$6)</f>
        <v>0</v>
      </c>
      <c r="N77">
        <f>COUNTIFS(Absensi!$D75:$ND75,"C",Absensi!$D$2:$ND$2,N$6)</f>
        <v>0</v>
      </c>
      <c r="O77">
        <f>COUNTIFS(Absensi!$D75:$ND75,"C",Absensi!$D$2:$ND$2,O$6)</f>
        <v>0</v>
      </c>
      <c r="P77">
        <f>COUNTIFS(Absensi!$D75:$ND75,"C",Absensi!$D$2:$ND$2,P$6)</f>
        <v>0</v>
      </c>
      <c r="Q77">
        <f>COUNTIFS(Absensi!$D75:$ND75,"CS",Absensi!$D$2:$ND$2,Q$6)</f>
        <v>0</v>
      </c>
      <c r="R77">
        <f>COUNTIFS(Absensi!$D75:$ND75,"CS",Absensi!$D$2:$ND$2,R$6)</f>
        <v>0</v>
      </c>
      <c r="S77">
        <f>COUNTIFS(Absensi!$D75:$ND75,"CS",Absensi!$D$2:$ND$2,S$6)</f>
        <v>0</v>
      </c>
      <c r="T77">
        <f>COUNTIFS(Absensi!$D75:$ND75,"CS",Absensi!$D$2:$ND$2,T$6)</f>
        <v>0</v>
      </c>
      <c r="U77">
        <f>COUNTIFS(Absensi!$D75:$ND75,"CS",Absensi!$D$2:$ND$2,U$6)</f>
        <v>0</v>
      </c>
      <c r="V77">
        <f>COUNTIFS(Absensi!$D75:$ND75,"CS",Absensi!$D$2:$ND$2,V$6)</f>
        <v>0</v>
      </c>
      <c r="W77">
        <f>COUNTIFS(Absensi!$D75:$ND75,"CS",Absensi!$D$2:$ND$2,W$6)</f>
        <v>0</v>
      </c>
      <c r="X77">
        <f>COUNTIFS(Absensi!$D75:$ND75,"CS",Absensi!$D$2:$ND$2,X$6)</f>
        <v>0</v>
      </c>
      <c r="Y77">
        <f>COUNTIFS(Absensi!$D75:$ND75,"CS",Absensi!$D$2:$ND$2,Y$6)</f>
        <v>0</v>
      </c>
      <c r="Z77">
        <f>COUNTIFS(Absensi!$D75:$ND75,"CS",Absensi!$D$2:$ND$2,Z$6)</f>
        <v>0</v>
      </c>
      <c r="AA77">
        <f>COUNTIFS(Absensi!$D75:$ND75,"CS",Absensi!$D$2:$ND$2,AA$6)</f>
        <v>0</v>
      </c>
      <c r="AB77">
        <f>COUNTIFS(Absensi!$D75:$ND75,"CS",Absensi!$D$2:$ND$2,AB$6)</f>
        <v>0</v>
      </c>
      <c r="AC77">
        <f t="shared" si="14"/>
        <v>0</v>
      </c>
      <c r="AD77">
        <f t="shared" si="15"/>
        <v>0</v>
      </c>
      <c r="AE77">
        <f t="shared" si="16"/>
        <v>-1</v>
      </c>
      <c r="AF77">
        <f t="shared" si="17"/>
        <v>-1</v>
      </c>
      <c r="AG77">
        <f t="shared" si="18"/>
        <v>-2</v>
      </c>
      <c r="AH77">
        <f t="shared" si="19"/>
        <v>-2</v>
      </c>
      <c r="AI77">
        <f t="shared" si="20"/>
        <v>-3</v>
      </c>
      <c r="AJ77">
        <f t="shared" si="21"/>
        <v>-4</v>
      </c>
      <c r="AK77">
        <f t="shared" si="22"/>
        <v>-4</v>
      </c>
      <c r="AL77">
        <f t="shared" si="23"/>
        <v>-4</v>
      </c>
      <c r="AM77">
        <f t="shared" si="24"/>
        <v>-4</v>
      </c>
      <c r="AN77">
        <f t="shared" si="25"/>
        <v>-4</v>
      </c>
    </row>
    <row r="78" spans="1:40" x14ac:dyDescent="0.25">
      <c r="A78" s="26">
        <v>72</v>
      </c>
      <c r="B78" s="27" t="str">
        <f>Absensi!B76</f>
        <v>Set Up</v>
      </c>
      <c r="C78" s="27" t="str">
        <f>Rekap!C78</f>
        <v>Muchtar</v>
      </c>
      <c r="D78" s="46" t="str">
        <f t="shared" si="26"/>
        <v>Set UpMuchtar</v>
      </c>
      <c r="E78">
        <f>COUNTIFS(Absensi!$D76:$ND76,"C",Absensi!$D$2:$ND$2,E$6)</f>
        <v>6</v>
      </c>
      <c r="F78">
        <f>COUNTIFS(Absensi!$D76:$ND76,"C",Absensi!$D$2:$ND$2,F$6)</f>
        <v>0</v>
      </c>
      <c r="G78">
        <f>COUNTIFS(Absensi!$D76:$ND76,"C",Absensi!$D$2:$ND$2,G$6)</f>
        <v>0</v>
      </c>
      <c r="H78">
        <f>COUNTIFS(Absensi!$D76:$ND76,"C",Absensi!$D$2:$ND$2,H$6)</f>
        <v>0</v>
      </c>
      <c r="I78">
        <f>COUNTIFS(Absensi!$D76:$ND76,"C",Absensi!$D$2:$ND$2,I$6)</f>
        <v>0</v>
      </c>
      <c r="J78">
        <f>COUNTIFS(Absensi!$D76:$ND76,"C",Absensi!$D$2:$ND$2,J$6)</f>
        <v>0</v>
      </c>
      <c r="K78">
        <f>COUNTIFS(Absensi!$D76:$ND76,"C",Absensi!$D$2:$ND$2,K$6)</f>
        <v>0</v>
      </c>
      <c r="L78">
        <f>COUNTIFS(Absensi!$D76:$ND76,"C",Absensi!$D$2:$ND$2,L$6)</f>
        <v>0</v>
      </c>
      <c r="M78">
        <f>COUNTIFS(Absensi!$D76:$ND76,"C",Absensi!$D$2:$ND$2,M$6)</f>
        <v>0</v>
      </c>
      <c r="N78">
        <f>COUNTIFS(Absensi!$D76:$ND76,"C",Absensi!$D$2:$ND$2,N$6)</f>
        <v>0</v>
      </c>
      <c r="O78">
        <f>COUNTIFS(Absensi!$D76:$ND76,"C",Absensi!$D$2:$ND$2,O$6)</f>
        <v>0</v>
      </c>
      <c r="P78">
        <f>COUNTIFS(Absensi!$D76:$ND76,"C",Absensi!$D$2:$ND$2,P$6)</f>
        <v>0</v>
      </c>
      <c r="Q78">
        <f>COUNTIFS(Absensi!$D76:$ND76,"CS",Absensi!$D$2:$ND$2,Q$6)</f>
        <v>0</v>
      </c>
      <c r="R78">
        <f>COUNTIFS(Absensi!$D76:$ND76,"CS",Absensi!$D$2:$ND$2,R$6)</f>
        <v>0</v>
      </c>
      <c r="S78">
        <f>COUNTIFS(Absensi!$D76:$ND76,"CS",Absensi!$D$2:$ND$2,S$6)</f>
        <v>0</v>
      </c>
      <c r="T78">
        <f>COUNTIFS(Absensi!$D76:$ND76,"CS",Absensi!$D$2:$ND$2,T$6)</f>
        <v>0</v>
      </c>
      <c r="U78">
        <f>COUNTIFS(Absensi!$D76:$ND76,"CS",Absensi!$D$2:$ND$2,U$6)</f>
        <v>0</v>
      </c>
      <c r="V78">
        <f>COUNTIFS(Absensi!$D76:$ND76,"CS",Absensi!$D$2:$ND$2,V$6)</f>
        <v>0</v>
      </c>
      <c r="W78">
        <f>COUNTIFS(Absensi!$D76:$ND76,"CS",Absensi!$D$2:$ND$2,W$6)</f>
        <v>0</v>
      </c>
      <c r="X78">
        <f>COUNTIFS(Absensi!$D76:$ND76,"CS",Absensi!$D$2:$ND$2,X$6)</f>
        <v>0</v>
      </c>
      <c r="Y78">
        <f>COUNTIFS(Absensi!$D76:$ND76,"CS",Absensi!$D$2:$ND$2,Y$6)</f>
        <v>0</v>
      </c>
      <c r="Z78">
        <f>COUNTIFS(Absensi!$D76:$ND76,"CS",Absensi!$D$2:$ND$2,Z$6)</f>
        <v>0</v>
      </c>
      <c r="AA78">
        <f>COUNTIFS(Absensi!$D76:$ND76,"CS",Absensi!$D$2:$ND$2,AA$6)</f>
        <v>0</v>
      </c>
      <c r="AB78">
        <f>COUNTIFS(Absensi!$D76:$ND76,"CS",Absensi!$D$2:$ND$2,AB$6)</f>
        <v>0</v>
      </c>
      <c r="AC78">
        <f t="shared" si="14"/>
        <v>6</v>
      </c>
      <c r="AD78">
        <f t="shared" si="15"/>
        <v>6</v>
      </c>
      <c r="AE78">
        <f t="shared" si="16"/>
        <v>6</v>
      </c>
      <c r="AF78">
        <f t="shared" si="17"/>
        <v>6</v>
      </c>
      <c r="AG78">
        <f t="shared" si="18"/>
        <v>6</v>
      </c>
      <c r="AH78">
        <f t="shared" si="19"/>
        <v>6</v>
      </c>
      <c r="AI78">
        <f t="shared" si="20"/>
        <v>6</v>
      </c>
      <c r="AJ78">
        <f t="shared" si="21"/>
        <v>6</v>
      </c>
      <c r="AK78">
        <f t="shared" si="22"/>
        <v>6</v>
      </c>
      <c r="AL78">
        <f t="shared" si="23"/>
        <v>6</v>
      </c>
      <c r="AM78">
        <f t="shared" si="24"/>
        <v>6</v>
      </c>
      <c r="AN78">
        <f t="shared" si="25"/>
        <v>6</v>
      </c>
    </row>
    <row r="79" spans="1:40" x14ac:dyDescent="0.25">
      <c r="A79" s="26">
        <v>73</v>
      </c>
      <c r="B79" s="27" t="str">
        <f>Absensi!B77</f>
        <v>Set Up</v>
      </c>
      <c r="C79" s="27" t="str">
        <f>Rekap!C79</f>
        <v>Alip</v>
      </c>
      <c r="D79" s="46" t="str">
        <f t="shared" si="26"/>
        <v>Set UpAlip</v>
      </c>
      <c r="E79">
        <f>COUNTIFS(Absensi!$D77:$ND77,"C",Absensi!$D$2:$ND$2,E$6)</f>
        <v>0</v>
      </c>
      <c r="F79">
        <f>COUNTIFS(Absensi!$D77:$ND77,"C",Absensi!$D$2:$ND$2,F$6)</f>
        <v>0</v>
      </c>
      <c r="G79">
        <f>COUNTIFS(Absensi!$D77:$ND77,"C",Absensi!$D$2:$ND$2,G$6)</f>
        <v>0</v>
      </c>
      <c r="H79">
        <f>COUNTIFS(Absensi!$D77:$ND77,"C",Absensi!$D$2:$ND$2,H$6)</f>
        <v>0</v>
      </c>
      <c r="I79">
        <f>COUNTIFS(Absensi!$D77:$ND77,"C",Absensi!$D$2:$ND$2,I$6)</f>
        <v>0</v>
      </c>
      <c r="J79">
        <f>COUNTIFS(Absensi!$D77:$ND77,"C",Absensi!$D$2:$ND$2,J$6)</f>
        <v>0</v>
      </c>
      <c r="K79">
        <f>COUNTIFS(Absensi!$D77:$ND77,"C",Absensi!$D$2:$ND$2,K$6)</f>
        <v>0</v>
      </c>
      <c r="L79">
        <f>COUNTIFS(Absensi!$D77:$ND77,"C",Absensi!$D$2:$ND$2,L$6)</f>
        <v>0</v>
      </c>
      <c r="M79">
        <f>COUNTIFS(Absensi!$D77:$ND77,"C",Absensi!$D$2:$ND$2,M$6)</f>
        <v>0</v>
      </c>
      <c r="N79">
        <f>COUNTIFS(Absensi!$D77:$ND77,"C",Absensi!$D$2:$ND$2,N$6)</f>
        <v>0</v>
      </c>
      <c r="O79">
        <f>COUNTIFS(Absensi!$D77:$ND77,"C",Absensi!$D$2:$ND$2,O$6)</f>
        <v>0</v>
      </c>
      <c r="P79">
        <f>COUNTIFS(Absensi!$D77:$ND77,"C",Absensi!$D$2:$ND$2,P$6)</f>
        <v>0</v>
      </c>
      <c r="Q79">
        <f>COUNTIFS(Absensi!$D77:$ND77,"CS",Absensi!$D$2:$ND$2,Q$6)</f>
        <v>0</v>
      </c>
      <c r="R79">
        <f>COUNTIFS(Absensi!$D77:$ND77,"CS",Absensi!$D$2:$ND$2,R$6)</f>
        <v>0</v>
      </c>
      <c r="S79">
        <f>COUNTIFS(Absensi!$D77:$ND77,"CS",Absensi!$D$2:$ND$2,S$6)</f>
        <v>0</v>
      </c>
      <c r="T79">
        <f>COUNTIFS(Absensi!$D77:$ND77,"CS",Absensi!$D$2:$ND$2,T$6)</f>
        <v>0</v>
      </c>
      <c r="U79">
        <f>COUNTIFS(Absensi!$D77:$ND77,"CS",Absensi!$D$2:$ND$2,U$6)</f>
        <v>0</v>
      </c>
      <c r="V79">
        <f>COUNTIFS(Absensi!$D77:$ND77,"CS",Absensi!$D$2:$ND$2,V$6)</f>
        <v>0</v>
      </c>
      <c r="W79">
        <f>COUNTIFS(Absensi!$D77:$ND77,"CS",Absensi!$D$2:$ND$2,W$6)</f>
        <v>0</v>
      </c>
      <c r="X79">
        <f>COUNTIFS(Absensi!$D77:$ND77,"CS",Absensi!$D$2:$ND$2,X$6)</f>
        <v>0</v>
      </c>
      <c r="Y79">
        <f>COUNTIFS(Absensi!$D77:$ND77,"CS",Absensi!$D$2:$ND$2,Y$6)</f>
        <v>0</v>
      </c>
      <c r="Z79">
        <f>COUNTIFS(Absensi!$D77:$ND77,"CS",Absensi!$D$2:$ND$2,Z$6)</f>
        <v>0</v>
      </c>
      <c r="AA79">
        <f>COUNTIFS(Absensi!$D77:$ND77,"CS",Absensi!$D$2:$ND$2,AA$6)</f>
        <v>0</v>
      </c>
      <c r="AB79">
        <f>COUNTIFS(Absensi!$D77:$ND77,"CS",Absensi!$D$2:$ND$2,AB$6)</f>
        <v>0</v>
      </c>
      <c r="AC79">
        <f t="shared" si="14"/>
        <v>12</v>
      </c>
      <c r="AD79">
        <f t="shared" si="15"/>
        <v>12</v>
      </c>
      <c r="AE79">
        <f t="shared" si="16"/>
        <v>12</v>
      </c>
      <c r="AF79">
        <f t="shared" si="17"/>
        <v>12</v>
      </c>
      <c r="AG79">
        <f t="shared" si="18"/>
        <v>12</v>
      </c>
      <c r="AH79">
        <f t="shared" si="19"/>
        <v>12</v>
      </c>
      <c r="AI79">
        <f t="shared" si="20"/>
        <v>12</v>
      </c>
      <c r="AJ79">
        <f t="shared" si="21"/>
        <v>12</v>
      </c>
      <c r="AK79">
        <f t="shared" si="22"/>
        <v>12</v>
      </c>
      <c r="AL79">
        <f t="shared" si="23"/>
        <v>12</v>
      </c>
      <c r="AM79">
        <f t="shared" si="24"/>
        <v>12</v>
      </c>
      <c r="AN79">
        <f t="shared" si="25"/>
        <v>12</v>
      </c>
    </row>
    <row r="80" spans="1:40" x14ac:dyDescent="0.25">
      <c r="A80" s="26">
        <v>74</v>
      </c>
      <c r="B80" s="27" t="str">
        <f>Absensi!B78</f>
        <v>Set Up</v>
      </c>
      <c r="C80" s="27" t="str">
        <f>Rekap!C80</f>
        <v>Bintang Ananda</v>
      </c>
      <c r="D80" s="46" t="str">
        <f t="shared" si="26"/>
        <v>Set UpBintang Ananda</v>
      </c>
      <c r="E80">
        <f>COUNTIFS(Absensi!$D78:$ND78,"C",Absensi!$D$2:$ND$2,E$6)</f>
        <v>0</v>
      </c>
      <c r="F80">
        <f>COUNTIFS(Absensi!$D78:$ND78,"C",Absensi!$D$2:$ND$2,F$6)</f>
        <v>0</v>
      </c>
      <c r="G80">
        <f>COUNTIFS(Absensi!$D78:$ND78,"C",Absensi!$D$2:$ND$2,G$6)</f>
        <v>0</v>
      </c>
      <c r="H80">
        <f>COUNTIFS(Absensi!$D78:$ND78,"C",Absensi!$D$2:$ND$2,H$6)</f>
        <v>0</v>
      </c>
      <c r="I80">
        <f>COUNTIFS(Absensi!$D78:$ND78,"C",Absensi!$D$2:$ND$2,I$6)</f>
        <v>0</v>
      </c>
      <c r="J80">
        <f>COUNTIFS(Absensi!$D78:$ND78,"C",Absensi!$D$2:$ND$2,J$6)</f>
        <v>0</v>
      </c>
      <c r="K80">
        <f>COUNTIFS(Absensi!$D78:$ND78,"C",Absensi!$D$2:$ND$2,K$6)</f>
        <v>0</v>
      </c>
      <c r="L80">
        <f>COUNTIFS(Absensi!$D78:$ND78,"C",Absensi!$D$2:$ND$2,L$6)</f>
        <v>0</v>
      </c>
      <c r="M80">
        <f>COUNTIFS(Absensi!$D78:$ND78,"C",Absensi!$D$2:$ND$2,M$6)</f>
        <v>0</v>
      </c>
      <c r="N80">
        <f>COUNTIFS(Absensi!$D78:$ND78,"C",Absensi!$D$2:$ND$2,N$6)</f>
        <v>0</v>
      </c>
      <c r="O80">
        <f>COUNTIFS(Absensi!$D78:$ND78,"C",Absensi!$D$2:$ND$2,O$6)</f>
        <v>0</v>
      </c>
      <c r="P80">
        <f>COUNTIFS(Absensi!$D78:$ND78,"C",Absensi!$D$2:$ND$2,P$6)</f>
        <v>0</v>
      </c>
      <c r="Q80">
        <f>COUNTIFS(Absensi!$D78:$ND78,"CS",Absensi!$D$2:$ND$2,Q$6)</f>
        <v>0</v>
      </c>
      <c r="R80">
        <f>COUNTIFS(Absensi!$D78:$ND78,"CS",Absensi!$D$2:$ND$2,R$6)</f>
        <v>0</v>
      </c>
      <c r="S80">
        <f>COUNTIFS(Absensi!$D78:$ND78,"CS",Absensi!$D$2:$ND$2,S$6)</f>
        <v>0</v>
      </c>
      <c r="T80">
        <f>COUNTIFS(Absensi!$D78:$ND78,"CS",Absensi!$D$2:$ND$2,T$6)</f>
        <v>0</v>
      </c>
      <c r="U80">
        <f>COUNTIFS(Absensi!$D78:$ND78,"CS",Absensi!$D$2:$ND$2,U$6)</f>
        <v>0</v>
      </c>
      <c r="V80">
        <f>COUNTIFS(Absensi!$D78:$ND78,"CS",Absensi!$D$2:$ND$2,V$6)</f>
        <v>0</v>
      </c>
      <c r="W80">
        <f>COUNTIFS(Absensi!$D78:$ND78,"CS",Absensi!$D$2:$ND$2,W$6)</f>
        <v>0</v>
      </c>
      <c r="X80">
        <f>COUNTIFS(Absensi!$D78:$ND78,"CS",Absensi!$D$2:$ND$2,X$6)</f>
        <v>0</v>
      </c>
      <c r="Y80">
        <f>COUNTIFS(Absensi!$D78:$ND78,"CS",Absensi!$D$2:$ND$2,Y$6)</f>
        <v>0</v>
      </c>
      <c r="Z80">
        <f>COUNTIFS(Absensi!$D78:$ND78,"CS",Absensi!$D$2:$ND$2,Z$6)</f>
        <v>0</v>
      </c>
      <c r="AA80">
        <f>COUNTIFS(Absensi!$D78:$ND78,"CS",Absensi!$D$2:$ND$2,AA$6)</f>
        <v>0</v>
      </c>
      <c r="AB80">
        <f>COUNTIFS(Absensi!$D78:$ND78,"CS",Absensi!$D$2:$ND$2,AB$6)</f>
        <v>0</v>
      </c>
      <c r="AC80">
        <f t="shared" si="14"/>
        <v>12</v>
      </c>
      <c r="AD80">
        <f t="shared" si="15"/>
        <v>12</v>
      </c>
      <c r="AE80">
        <f t="shared" si="16"/>
        <v>12</v>
      </c>
      <c r="AF80">
        <f t="shared" si="17"/>
        <v>12</v>
      </c>
      <c r="AG80">
        <f t="shared" si="18"/>
        <v>12</v>
      </c>
      <c r="AH80">
        <f t="shared" si="19"/>
        <v>12</v>
      </c>
      <c r="AI80">
        <f t="shared" si="20"/>
        <v>12</v>
      </c>
      <c r="AJ80">
        <f t="shared" si="21"/>
        <v>12</v>
      </c>
      <c r="AK80">
        <f t="shared" si="22"/>
        <v>12</v>
      </c>
      <c r="AL80">
        <f t="shared" si="23"/>
        <v>12</v>
      </c>
      <c r="AM80">
        <f t="shared" si="24"/>
        <v>12</v>
      </c>
      <c r="AN80">
        <f t="shared" si="25"/>
        <v>12</v>
      </c>
    </row>
    <row r="81" spans="1:40" x14ac:dyDescent="0.25">
      <c r="A81" s="26">
        <v>75</v>
      </c>
      <c r="B81" s="27" t="str">
        <f>Absensi!B79</f>
        <v>Set Up</v>
      </c>
      <c r="C81" s="27" t="str">
        <f>Rekap!C81</f>
        <v xml:space="preserve">Shaqinah </v>
      </c>
      <c r="D81" s="46" t="str">
        <f t="shared" si="26"/>
        <v xml:space="preserve">Set UpShaqinah </v>
      </c>
      <c r="E81">
        <f>COUNTIFS(Absensi!$D79:$ND79,"C",Absensi!$D$2:$ND$2,E$6)</f>
        <v>12</v>
      </c>
      <c r="F81">
        <f>COUNTIFS(Absensi!$D79:$ND79,"C",Absensi!$D$2:$ND$2,F$6)</f>
        <v>0</v>
      </c>
      <c r="G81">
        <f>COUNTIFS(Absensi!$D79:$ND79,"C",Absensi!$D$2:$ND$2,G$6)</f>
        <v>0</v>
      </c>
      <c r="H81">
        <f>COUNTIFS(Absensi!$D79:$ND79,"C",Absensi!$D$2:$ND$2,H$6)</f>
        <v>0</v>
      </c>
      <c r="I81">
        <f>COUNTIFS(Absensi!$D79:$ND79,"C",Absensi!$D$2:$ND$2,I$6)</f>
        <v>0</v>
      </c>
      <c r="J81">
        <f>COUNTIFS(Absensi!$D79:$ND79,"C",Absensi!$D$2:$ND$2,J$6)</f>
        <v>0</v>
      </c>
      <c r="K81">
        <f>COUNTIFS(Absensi!$D79:$ND79,"C",Absensi!$D$2:$ND$2,K$6)</f>
        <v>0</v>
      </c>
      <c r="L81">
        <f>COUNTIFS(Absensi!$D79:$ND79,"C",Absensi!$D$2:$ND$2,L$6)</f>
        <v>0</v>
      </c>
      <c r="M81">
        <f>COUNTIFS(Absensi!$D79:$ND79,"C",Absensi!$D$2:$ND$2,M$6)</f>
        <v>0</v>
      </c>
      <c r="N81">
        <f>COUNTIFS(Absensi!$D79:$ND79,"C",Absensi!$D$2:$ND$2,N$6)</f>
        <v>0</v>
      </c>
      <c r="O81">
        <f>COUNTIFS(Absensi!$D79:$ND79,"C",Absensi!$D$2:$ND$2,O$6)</f>
        <v>0</v>
      </c>
      <c r="P81">
        <f>COUNTIFS(Absensi!$D79:$ND79,"C",Absensi!$D$2:$ND$2,P$6)</f>
        <v>0</v>
      </c>
      <c r="Q81">
        <f>COUNTIFS(Absensi!$D79:$ND79,"CS",Absensi!$D$2:$ND$2,Q$6)</f>
        <v>0</v>
      </c>
      <c r="R81">
        <f>COUNTIFS(Absensi!$D79:$ND79,"CS",Absensi!$D$2:$ND$2,R$6)</f>
        <v>0</v>
      </c>
      <c r="S81">
        <f>COUNTIFS(Absensi!$D79:$ND79,"CS",Absensi!$D$2:$ND$2,S$6)</f>
        <v>0</v>
      </c>
      <c r="T81">
        <f>COUNTIFS(Absensi!$D79:$ND79,"CS",Absensi!$D$2:$ND$2,T$6)</f>
        <v>0</v>
      </c>
      <c r="U81">
        <f>COUNTIFS(Absensi!$D79:$ND79,"CS",Absensi!$D$2:$ND$2,U$6)</f>
        <v>0</v>
      </c>
      <c r="V81">
        <f>COUNTIFS(Absensi!$D79:$ND79,"CS",Absensi!$D$2:$ND$2,V$6)</f>
        <v>0</v>
      </c>
      <c r="W81">
        <f>COUNTIFS(Absensi!$D79:$ND79,"CS",Absensi!$D$2:$ND$2,W$6)</f>
        <v>0</v>
      </c>
      <c r="X81">
        <f>COUNTIFS(Absensi!$D79:$ND79,"CS",Absensi!$D$2:$ND$2,X$6)</f>
        <v>0</v>
      </c>
      <c r="Y81">
        <f>COUNTIFS(Absensi!$D79:$ND79,"CS",Absensi!$D$2:$ND$2,Y$6)</f>
        <v>0</v>
      </c>
      <c r="Z81">
        <f>COUNTIFS(Absensi!$D79:$ND79,"CS",Absensi!$D$2:$ND$2,Z$6)</f>
        <v>0</v>
      </c>
      <c r="AA81">
        <f>COUNTIFS(Absensi!$D79:$ND79,"CS",Absensi!$D$2:$ND$2,AA$6)</f>
        <v>0</v>
      </c>
      <c r="AB81">
        <f>COUNTIFS(Absensi!$D79:$ND79,"CS",Absensi!$D$2:$ND$2,AB$6)</f>
        <v>0</v>
      </c>
      <c r="AC81">
        <f t="shared" si="14"/>
        <v>0</v>
      </c>
      <c r="AD81">
        <f t="shared" si="15"/>
        <v>0</v>
      </c>
      <c r="AE81">
        <f t="shared" si="16"/>
        <v>0</v>
      </c>
      <c r="AF81">
        <f t="shared" si="17"/>
        <v>0</v>
      </c>
      <c r="AG81">
        <f t="shared" si="18"/>
        <v>0</v>
      </c>
      <c r="AH81">
        <f t="shared" si="19"/>
        <v>0</v>
      </c>
      <c r="AI81">
        <f t="shared" si="20"/>
        <v>0</v>
      </c>
      <c r="AJ81">
        <f t="shared" si="21"/>
        <v>0</v>
      </c>
      <c r="AK81">
        <f t="shared" si="22"/>
        <v>0</v>
      </c>
      <c r="AL81">
        <f t="shared" si="23"/>
        <v>0</v>
      </c>
      <c r="AM81">
        <f t="shared" si="24"/>
        <v>0</v>
      </c>
      <c r="AN81">
        <f t="shared" si="25"/>
        <v>0</v>
      </c>
    </row>
    <row r="82" spans="1:40" x14ac:dyDescent="0.25">
      <c r="A82" s="26">
        <v>76</v>
      </c>
      <c r="B82" s="27" t="str">
        <f>Absensi!B80</f>
        <v>Set Up</v>
      </c>
      <c r="C82" s="27" t="str">
        <f>Rekap!C82</f>
        <v>Karlina Putri</v>
      </c>
      <c r="D82" s="46" t="str">
        <f t="shared" si="26"/>
        <v>Set UpKarlina Putri</v>
      </c>
      <c r="E82">
        <f>COUNTIFS(Absensi!$D80:$ND80,"C",Absensi!$D$2:$ND$2,E$6)</f>
        <v>12</v>
      </c>
      <c r="F82">
        <f>COUNTIFS(Absensi!$D80:$ND80,"C",Absensi!$D$2:$ND$2,F$6)</f>
        <v>0</v>
      </c>
      <c r="G82">
        <f>COUNTIFS(Absensi!$D80:$ND80,"C",Absensi!$D$2:$ND$2,G$6)</f>
        <v>0</v>
      </c>
      <c r="H82">
        <f>COUNTIFS(Absensi!$D80:$ND80,"C",Absensi!$D$2:$ND$2,H$6)</f>
        <v>0</v>
      </c>
      <c r="I82">
        <f>COUNTIFS(Absensi!$D80:$ND80,"C",Absensi!$D$2:$ND$2,I$6)</f>
        <v>0</v>
      </c>
      <c r="J82">
        <f>COUNTIFS(Absensi!$D80:$ND80,"C",Absensi!$D$2:$ND$2,J$6)</f>
        <v>0</v>
      </c>
      <c r="K82">
        <f>COUNTIFS(Absensi!$D80:$ND80,"C",Absensi!$D$2:$ND$2,K$6)</f>
        <v>0</v>
      </c>
      <c r="L82">
        <f>COUNTIFS(Absensi!$D80:$ND80,"C",Absensi!$D$2:$ND$2,L$6)</f>
        <v>0</v>
      </c>
      <c r="M82">
        <f>COUNTIFS(Absensi!$D80:$ND80,"C",Absensi!$D$2:$ND$2,M$6)</f>
        <v>0</v>
      </c>
      <c r="N82">
        <f>COUNTIFS(Absensi!$D80:$ND80,"C",Absensi!$D$2:$ND$2,N$6)</f>
        <v>0</v>
      </c>
      <c r="O82">
        <f>COUNTIFS(Absensi!$D80:$ND80,"C",Absensi!$D$2:$ND$2,O$6)</f>
        <v>0</v>
      </c>
      <c r="P82">
        <f>COUNTIFS(Absensi!$D80:$ND80,"C",Absensi!$D$2:$ND$2,P$6)</f>
        <v>0</v>
      </c>
      <c r="Q82">
        <f>COUNTIFS(Absensi!$D80:$ND80,"CS",Absensi!$D$2:$ND$2,Q$6)</f>
        <v>0</v>
      </c>
      <c r="R82">
        <f>COUNTIFS(Absensi!$D80:$ND80,"CS",Absensi!$D$2:$ND$2,R$6)</f>
        <v>0</v>
      </c>
      <c r="S82">
        <f>COUNTIFS(Absensi!$D80:$ND80,"CS",Absensi!$D$2:$ND$2,S$6)</f>
        <v>0</v>
      </c>
      <c r="T82">
        <f>COUNTIFS(Absensi!$D80:$ND80,"CS",Absensi!$D$2:$ND$2,T$6)</f>
        <v>0</v>
      </c>
      <c r="U82">
        <f>COUNTIFS(Absensi!$D80:$ND80,"CS",Absensi!$D$2:$ND$2,U$6)</f>
        <v>0</v>
      </c>
      <c r="V82">
        <f>COUNTIFS(Absensi!$D80:$ND80,"CS",Absensi!$D$2:$ND$2,V$6)</f>
        <v>0</v>
      </c>
      <c r="W82">
        <f>COUNTIFS(Absensi!$D80:$ND80,"CS",Absensi!$D$2:$ND$2,W$6)</f>
        <v>0</v>
      </c>
      <c r="X82">
        <f>COUNTIFS(Absensi!$D80:$ND80,"CS",Absensi!$D$2:$ND$2,X$6)</f>
        <v>0</v>
      </c>
      <c r="Y82">
        <f>COUNTIFS(Absensi!$D80:$ND80,"CS",Absensi!$D$2:$ND$2,Y$6)</f>
        <v>0</v>
      </c>
      <c r="Z82">
        <f>COUNTIFS(Absensi!$D80:$ND80,"CS",Absensi!$D$2:$ND$2,Z$6)</f>
        <v>0</v>
      </c>
      <c r="AA82">
        <f>COUNTIFS(Absensi!$D80:$ND80,"CS",Absensi!$D$2:$ND$2,AA$6)</f>
        <v>0</v>
      </c>
      <c r="AB82">
        <f>COUNTIFS(Absensi!$D80:$ND80,"CS",Absensi!$D$2:$ND$2,AB$6)</f>
        <v>0</v>
      </c>
      <c r="AC82">
        <f t="shared" si="14"/>
        <v>0</v>
      </c>
      <c r="AD82">
        <f t="shared" si="15"/>
        <v>0</v>
      </c>
      <c r="AE82">
        <f t="shared" si="16"/>
        <v>0</v>
      </c>
      <c r="AF82">
        <f t="shared" si="17"/>
        <v>0</v>
      </c>
      <c r="AG82">
        <f t="shared" si="18"/>
        <v>0</v>
      </c>
      <c r="AH82">
        <f t="shared" si="19"/>
        <v>0</v>
      </c>
      <c r="AI82">
        <f t="shared" si="20"/>
        <v>0</v>
      </c>
      <c r="AJ82">
        <f t="shared" si="21"/>
        <v>0</v>
      </c>
      <c r="AK82">
        <f t="shared" si="22"/>
        <v>0</v>
      </c>
      <c r="AL82">
        <f t="shared" si="23"/>
        <v>0</v>
      </c>
      <c r="AM82">
        <f t="shared" si="24"/>
        <v>0</v>
      </c>
      <c r="AN82">
        <f t="shared" si="25"/>
        <v>0</v>
      </c>
    </row>
    <row r="83" spans="1:40" x14ac:dyDescent="0.25">
      <c r="A83" s="26">
        <v>77</v>
      </c>
      <c r="B83" s="27" t="str">
        <f>Absensi!B81</f>
        <v>Set Up</v>
      </c>
      <c r="C83" s="27" t="str">
        <f>Rekap!C83</f>
        <v>Julio Siahaan</v>
      </c>
      <c r="D83" s="46" t="str">
        <f t="shared" si="26"/>
        <v>Set UpJulio Siahaan</v>
      </c>
      <c r="E83">
        <f>COUNTIFS(Absensi!$D81:$ND81,"C",Absensi!$D$2:$ND$2,E$6)</f>
        <v>12</v>
      </c>
      <c r="F83">
        <f>COUNTIFS(Absensi!$D81:$ND81,"C",Absensi!$D$2:$ND$2,F$6)</f>
        <v>0</v>
      </c>
      <c r="G83">
        <f>COUNTIFS(Absensi!$D81:$ND81,"C",Absensi!$D$2:$ND$2,G$6)</f>
        <v>0</v>
      </c>
      <c r="H83">
        <f>COUNTIFS(Absensi!$D81:$ND81,"C",Absensi!$D$2:$ND$2,H$6)</f>
        <v>0</v>
      </c>
      <c r="I83">
        <f>COUNTIFS(Absensi!$D81:$ND81,"C",Absensi!$D$2:$ND$2,I$6)</f>
        <v>4</v>
      </c>
      <c r="J83">
        <f>COUNTIFS(Absensi!$D81:$ND81,"C",Absensi!$D$2:$ND$2,J$6)</f>
        <v>0</v>
      </c>
      <c r="K83">
        <f>COUNTIFS(Absensi!$D81:$ND81,"C",Absensi!$D$2:$ND$2,K$6)</f>
        <v>2</v>
      </c>
      <c r="L83">
        <f>COUNTIFS(Absensi!$D81:$ND81,"C",Absensi!$D$2:$ND$2,L$6)</f>
        <v>0</v>
      </c>
      <c r="M83">
        <f>COUNTIFS(Absensi!$D81:$ND81,"C",Absensi!$D$2:$ND$2,M$6)</f>
        <v>0</v>
      </c>
      <c r="N83">
        <f>COUNTIFS(Absensi!$D81:$ND81,"C",Absensi!$D$2:$ND$2,N$6)</f>
        <v>0</v>
      </c>
      <c r="O83">
        <f>COUNTIFS(Absensi!$D81:$ND81,"C",Absensi!$D$2:$ND$2,O$6)</f>
        <v>0</v>
      </c>
      <c r="P83">
        <f>COUNTIFS(Absensi!$D81:$ND81,"C",Absensi!$D$2:$ND$2,P$6)</f>
        <v>0</v>
      </c>
      <c r="Q83">
        <f>COUNTIFS(Absensi!$D81:$ND81,"CS",Absensi!$D$2:$ND$2,Q$6)</f>
        <v>0</v>
      </c>
      <c r="R83">
        <f>COUNTIFS(Absensi!$D81:$ND81,"CS",Absensi!$D$2:$ND$2,R$6)</f>
        <v>0</v>
      </c>
      <c r="S83">
        <f>COUNTIFS(Absensi!$D81:$ND81,"CS",Absensi!$D$2:$ND$2,S$6)</f>
        <v>0</v>
      </c>
      <c r="T83">
        <f>COUNTIFS(Absensi!$D81:$ND81,"CS",Absensi!$D$2:$ND$2,T$6)</f>
        <v>0</v>
      </c>
      <c r="U83">
        <f>COUNTIFS(Absensi!$D81:$ND81,"CS",Absensi!$D$2:$ND$2,U$6)</f>
        <v>0</v>
      </c>
      <c r="V83">
        <f>COUNTIFS(Absensi!$D81:$ND81,"CS",Absensi!$D$2:$ND$2,V$6)</f>
        <v>0</v>
      </c>
      <c r="W83">
        <f>COUNTIFS(Absensi!$D81:$ND81,"CS",Absensi!$D$2:$ND$2,W$6)</f>
        <v>0</v>
      </c>
      <c r="X83">
        <f>COUNTIFS(Absensi!$D81:$ND81,"CS",Absensi!$D$2:$ND$2,X$6)</f>
        <v>0</v>
      </c>
      <c r="Y83">
        <f>COUNTIFS(Absensi!$D81:$ND81,"CS",Absensi!$D$2:$ND$2,Y$6)</f>
        <v>0</v>
      </c>
      <c r="Z83">
        <f>COUNTIFS(Absensi!$D81:$ND81,"CS",Absensi!$D$2:$ND$2,Z$6)</f>
        <v>0</v>
      </c>
      <c r="AA83">
        <f>COUNTIFS(Absensi!$D81:$ND81,"CS",Absensi!$D$2:$ND$2,AA$6)</f>
        <v>0</v>
      </c>
      <c r="AB83">
        <f>COUNTIFS(Absensi!$D81:$ND81,"CS",Absensi!$D$2:$ND$2,AB$6)</f>
        <v>0</v>
      </c>
      <c r="AC83">
        <f t="shared" si="14"/>
        <v>0</v>
      </c>
      <c r="AD83">
        <f t="shared" si="15"/>
        <v>0</v>
      </c>
      <c r="AE83">
        <f t="shared" si="16"/>
        <v>0</v>
      </c>
      <c r="AF83">
        <f t="shared" si="17"/>
        <v>0</v>
      </c>
      <c r="AG83">
        <f t="shared" si="18"/>
        <v>-4</v>
      </c>
      <c r="AH83">
        <f t="shared" si="19"/>
        <v>-4</v>
      </c>
      <c r="AI83">
        <f t="shared" si="20"/>
        <v>-6</v>
      </c>
      <c r="AJ83">
        <f t="shared" si="21"/>
        <v>-6</v>
      </c>
      <c r="AK83">
        <f t="shared" si="22"/>
        <v>-6</v>
      </c>
      <c r="AL83">
        <f t="shared" si="23"/>
        <v>-6</v>
      </c>
      <c r="AM83">
        <f t="shared" si="24"/>
        <v>-6</v>
      </c>
      <c r="AN83">
        <f t="shared" si="25"/>
        <v>-6</v>
      </c>
    </row>
    <row r="84" spans="1:40" x14ac:dyDescent="0.25">
      <c r="A84" s="26">
        <v>78</v>
      </c>
      <c r="B84" s="27" t="str">
        <f>Absensi!B82</f>
        <v>Set Up</v>
      </c>
      <c r="C84" s="27" t="str">
        <f>Rekap!C84</f>
        <v>Hilman</v>
      </c>
      <c r="D84" s="46" t="str">
        <f t="shared" si="26"/>
        <v>Set UpHilman</v>
      </c>
      <c r="E84">
        <f>COUNTIFS(Absensi!$D82:$ND82,"C",Absensi!$D$2:$ND$2,E$6)</f>
        <v>12</v>
      </c>
      <c r="F84">
        <f>COUNTIFS(Absensi!$D82:$ND82,"C",Absensi!$D$2:$ND$2,F$6)</f>
        <v>0</v>
      </c>
      <c r="G84">
        <f>COUNTIFS(Absensi!$D82:$ND82,"C",Absensi!$D$2:$ND$2,G$6)</f>
        <v>0</v>
      </c>
      <c r="H84">
        <f>COUNTIFS(Absensi!$D82:$ND82,"C",Absensi!$D$2:$ND$2,H$6)</f>
        <v>0</v>
      </c>
      <c r="I84">
        <f>COUNTIFS(Absensi!$D82:$ND82,"C",Absensi!$D$2:$ND$2,I$6)</f>
        <v>0</v>
      </c>
      <c r="J84">
        <f>COUNTIFS(Absensi!$D82:$ND82,"C",Absensi!$D$2:$ND$2,J$6)</f>
        <v>2</v>
      </c>
      <c r="K84">
        <f>COUNTIFS(Absensi!$D82:$ND82,"C",Absensi!$D$2:$ND$2,K$6)</f>
        <v>1</v>
      </c>
      <c r="L84">
        <f>COUNTIFS(Absensi!$D82:$ND82,"C",Absensi!$D$2:$ND$2,L$6)</f>
        <v>0</v>
      </c>
      <c r="M84">
        <f>COUNTIFS(Absensi!$D82:$ND82,"C",Absensi!$D$2:$ND$2,M$6)</f>
        <v>0</v>
      </c>
      <c r="N84">
        <f>COUNTIFS(Absensi!$D82:$ND82,"C",Absensi!$D$2:$ND$2,N$6)</f>
        <v>0</v>
      </c>
      <c r="O84">
        <f>COUNTIFS(Absensi!$D82:$ND82,"C",Absensi!$D$2:$ND$2,O$6)</f>
        <v>0</v>
      </c>
      <c r="P84">
        <f>COUNTIFS(Absensi!$D82:$ND82,"C",Absensi!$D$2:$ND$2,P$6)</f>
        <v>0</v>
      </c>
      <c r="Q84">
        <f>COUNTIFS(Absensi!$D82:$ND82,"CS",Absensi!$D$2:$ND$2,Q$6)</f>
        <v>0</v>
      </c>
      <c r="R84">
        <f>COUNTIFS(Absensi!$D82:$ND82,"CS",Absensi!$D$2:$ND$2,R$6)</f>
        <v>0</v>
      </c>
      <c r="S84">
        <f>COUNTIFS(Absensi!$D82:$ND82,"CS",Absensi!$D$2:$ND$2,S$6)</f>
        <v>0</v>
      </c>
      <c r="T84">
        <f>COUNTIFS(Absensi!$D82:$ND82,"CS",Absensi!$D$2:$ND$2,T$6)</f>
        <v>0</v>
      </c>
      <c r="U84">
        <f>COUNTIFS(Absensi!$D82:$ND82,"CS",Absensi!$D$2:$ND$2,U$6)</f>
        <v>0</v>
      </c>
      <c r="V84">
        <f>COUNTIFS(Absensi!$D82:$ND82,"CS",Absensi!$D$2:$ND$2,V$6)</f>
        <v>0</v>
      </c>
      <c r="W84">
        <f>COUNTIFS(Absensi!$D82:$ND82,"CS",Absensi!$D$2:$ND$2,W$6)</f>
        <v>0</v>
      </c>
      <c r="X84">
        <f>COUNTIFS(Absensi!$D82:$ND82,"CS",Absensi!$D$2:$ND$2,X$6)</f>
        <v>0</v>
      </c>
      <c r="Y84">
        <f>COUNTIFS(Absensi!$D82:$ND82,"CS",Absensi!$D$2:$ND$2,Y$6)</f>
        <v>0</v>
      </c>
      <c r="Z84">
        <f>COUNTIFS(Absensi!$D82:$ND82,"CS",Absensi!$D$2:$ND$2,Z$6)</f>
        <v>0</v>
      </c>
      <c r="AA84">
        <f>COUNTIFS(Absensi!$D82:$ND82,"CS",Absensi!$D$2:$ND$2,AA$6)</f>
        <v>0</v>
      </c>
      <c r="AB84">
        <f>COUNTIFS(Absensi!$D82:$ND82,"CS",Absensi!$D$2:$ND$2,AB$6)</f>
        <v>0</v>
      </c>
      <c r="AC84">
        <f t="shared" si="14"/>
        <v>0</v>
      </c>
      <c r="AD84">
        <f t="shared" si="15"/>
        <v>0</v>
      </c>
      <c r="AE84">
        <f t="shared" si="16"/>
        <v>0</v>
      </c>
      <c r="AF84">
        <f t="shared" si="17"/>
        <v>0</v>
      </c>
      <c r="AG84">
        <f t="shared" si="18"/>
        <v>0</v>
      </c>
      <c r="AH84">
        <f t="shared" si="19"/>
        <v>-2</v>
      </c>
      <c r="AI84">
        <f t="shared" si="20"/>
        <v>-3</v>
      </c>
      <c r="AJ84">
        <f t="shared" si="21"/>
        <v>-3</v>
      </c>
      <c r="AK84">
        <f t="shared" si="22"/>
        <v>-3</v>
      </c>
      <c r="AL84">
        <f t="shared" si="23"/>
        <v>-3</v>
      </c>
      <c r="AM84">
        <f t="shared" si="24"/>
        <v>-3</v>
      </c>
      <c r="AN84">
        <f t="shared" si="25"/>
        <v>-3</v>
      </c>
    </row>
    <row r="85" spans="1:40" x14ac:dyDescent="0.25">
      <c r="A85" s="26">
        <v>79</v>
      </c>
      <c r="B85" s="27" t="str">
        <f>Absensi!B83</f>
        <v>GLC</v>
      </c>
      <c r="C85" s="27" t="str">
        <f>Rekap!C85</f>
        <v>BAGUS</v>
      </c>
      <c r="D85" s="46" t="str">
        <f t="shared" si="26"/>
        <v>GLCBAGUS</v>
      </c>
      <c r="E85">
        <f>COUNTIFS(Absensi!$D83:$ND83,"C",Absensi!$D$2:$ND$2,E$6)</f>
        <v>0</v>
      </c>
      <c r="F85">
        <f>COUNTIFS(Absensi!$D83:$ND83,"C",Absensi!$D$2:$ND$2,F$6)</f>
        <v>0</v>
      </c>
      <c r="G85">
        <f>COUNTIFS(Absensi!$D83:$ND83,"C",Absensi!$D$2:$ND$2,G$6)</f>
        <v>0</v>
      </c>
      <c r="H85">
        <f>COUNTIFS(Absensi!$D83:$ND83,"C",Absensi!$D$2:$ND$2,H$6)</f>
        <v>0</v>
      </c>
      <c r="I85">
        <f>COUNTIFS(Absensi!$D83:$ND83,"C",Absensi!$D$2:$ND$2,I$6)</f>
        <v>0</v>
      </c>
      <c r="J85">
        <f>COUNTIFS(Absensi!$D83:$ND83,"C",Absensi!$D$2:$ND$2,J$6)</f>
        <v>0</v>
      </c>
      <c r="K85">
        <f>COUNTIFS(Absensi!$D83:$ND83,"C",Absensi!$D$2:$ND$2,K$6)</f>
        <v>0</v>
      </c>
      <c r="L85">
        <f>COUNTIFS(Absensi!$D83:$ND83,"C",Absensi!$D$2:$ND$2,L$6)</f>
        <v>3</v>
      </c>
      <c r="M85">
        <f>COUNTIFS(Absensi!$D83:$ND83,"C",Absensi!$D$2:$ND$2,M$6)</f>
        <v>0</v>
      </c>
      <c r="N85">
        <f>COUNTIFS(Absensi!$D83:$ND83,"C",Absensi!$D$2:$ND$2,N$6)</f>
        <v>0</v>
      </c>
      <c r="O85">
        <f>COUNTIFS(Absensi!$D83:$ND83,"C",Absensi!$D$2:$ND$2,O$6)</f>
        <v>0</v>
      </c>
      <c r="P85">
        <f>COUNTIFS(Absensi!$D83:$ND83,"C",Absensi!$D$2:$ND$2,P$6)</f>
        <v>0</v>
      </c>
      <c r="Q85">
        <f>COUNTIFS(Absensi!$D83:$ND83,"CS",Absensi!$D$2:$ND$2,Q$6)</f>
        <v>0</v>
      </c>
      <c r="R85">
        <f>COUNTIFS(Absensi!$D83:$ND83,"CS",Absensi!$D$2:$ND$2,R$6)</f>
        <v>0</v>
      </c>
      <c r="S85">
        <f>COUNTIFS(Absensi!$D83:$ND83,"CS",Absensi!$D$2:$ND$2,S$6)</f>
        <v>0</v>
      </c>
      <c r="T85">
        <f>COUNTIFS(Absensi!$D83:$ND83,"CS",Absensi!$D$2:$ND$2,T$6)</f>
        <v>0</v>
      </c>
      <c r="U85">
        <f>COUNTIFS(Absensi!$D83:$ND83,"CS",Absensi!$D$2:$ND$2,U$6)</f>
        <v>0</v>
      </c>
      <c r="V85">
        <f>COUNTIFS(Absensi!$D83:$ND83,"CS",Absensi!$D$2:$ND$2,V$6)</f>
        <v>0</v>
      </c>
      <c r="W85">
        <f>COUNTIFS(Absensi!$D83:$ND83,"CS",Absensi!$D$2:$ND$2,W$6)</f>
        <v>0</v>
      </c>
      <c r="X85">
        <f>COUNTIFS(Absensi!$D83:$ND83,"CS",Absensi!$D$2:$ND$2,X$6)</f>
        <v>0</v>
      </c>
      <c r="Y85">
        <f>COUNTIFS(Absensi!$D83:$ND83,"CS",Absensi!$D$2:$ND$2,Y$6)</f>
        <v>0</v>
      </c>
      <c r="Z85">
        <f>COUNTIFS(Absensi!$D83:$ND83,"CS",Absensi!$D$2:$ND$2,Z$6)</f>
        <v>0</v>
      </c>
      <c r="AA85">
        <f>COUNTIFS(Absensi!$D83:$ND83,"CS",Absensi!$D$2:$ND$2,AA$6)</f>
        <v>0</v>
      </c>
      <c r="AB85">
        <f>COUNTIFS(Absensi!$D83:$ND83,"CS",Absensi!$D$2:$ND$2,AB$6)</f>
        <v>0</v>
      </c>
      <c r="AC85">
        <f t="shared" si="14"/>
        <v>12</v>
      </c>
      <c r="AD85">
        <f t="shared" si="15"/>
        <v>12</v>
      </c>
      <c r="AE85">
        <f t="shared" si="16"/>
        <v>12</v>
      </c>
      <c r="AF85">
        <f t="shared" si="17"/>
        <v>12</v>
      </c>
      <c r="AG85">
        <f t="shared" si="18"/>
        <v>12</v>
      </c>
      <c r="AH85">
        <f t="shared" si="19"/>
        <v>12</v>
      </c>
      <c r="AI85">
        <f t="shared" si="20"/>
        <v>12</v>
      </c>
      <c r="AJ85">
        <f t="shared" si="21"/>
        <v>9</v>
      </c>
      <c r="AK85">
        <f t="shared" si="22"/>
        <v>9</v>
      </c>
      <c r="AL85">
        <f t="shared" si="23"/>
        <v>9</v>
      </c>
      <c r="AM85">
        <f t="shared" si="24"/>
        <v>9</v>
      </c>
      <c r="AN85">
        <f t="shared" si="25"/>
        <v>9</v>
      </c>
    </row>
    <row r="86" spans="1:40" x14ac:dyDescent="0.25">
      <c r="A86" s="26">
        <v>80</v>
      </c>
      <c r="B86" s="27" t="str">
        <f>Absensi!B84</f>
        <v>GLC</v>
      </c>
      <c r="C86" s="27" t="str">
        <f>Rekap!C86</f>
        <v>ADIT</v>
      </c>
      <c r="D86" s="46" t="str">
        <f t="shared" si="26"/>
        <v>GLCADIT</v>
      </c>
      <c r="E86">
        <f>COUNTIFS(Absensi!$D84:$ND84,"C",Absensi!$D$2:$ND$2,E$6)</f>
        <v>0</v>
      </c>
      <c r="F86">
        <f>COUNTIFS(Absensi!$D84:$ND84,"C",Absensi!$D$2:$ND$2,F$6)</f>
        <v>0</v>
      </c>
      <c r="G86">
        <f>COUNTIFS(Absensi!$D84:$ND84,"C",Absensi!$D$2:$ND$2,G$6)</f>
        <v>0</v>
      </c>
      <c r="H86">
        <f>COUNTIFS(Absensi!$D84:$ND84,"C",Absensi!$D$2:$ND$2,H$6)</f>
        <v>0</v>
      </c>
      <c r="I86">
        <f>COUNTIFS(Absensi!$D84:$ND84,"C",Absensi!$D$2:$ND$2,I$6)</f>
        <v>0</v>
      </c>
      <c r="J86">
        <f>COUNTIFS(Absensi!$D84:$ND84,"C",Absensi!$D$2:$ND$2,J$6)</f>
        <v>0</v>
      </c>
      <c r="K86">
        <f>COUNTIFS(Absensi!$D84:$ND84,"C",Absensi!$D$2:$ND$2,K$6)</f>
        <v>0</v>
      </c>
      <c r="L86">
        <f>COUNTIFS(Absensi!$D84:$ND84,"C",Absensi!$D$2:$ND$2,L$6)</f>
        <v>0</v>
      </c>
      <c r="M86">
        <f>COUNTIFS(Absensi!$D84:$ND84,"C",Absensi!$D$2:$ND$2,M$6)</f>
        <v>0</v>
      </c>
      <c r="N86">
        <f>COUNTIFS(Absensi!$D84:$ND84,"C",Absensi!$D$2:$ND$2,N$6)</f>
        <v>0</v>
      </c>
      <c r="O86">
        <f>COUNTIFS(Absensi!$D84:$ND84,"C",Absensi!$D$2:$ND$2,O$6)</f>
        <v>0</v>
      </c>
      <c r="P86">
        <f>COUNTIFS(Absensi!$D84:$ND84,"C",Absensi!$D$2:$ND$2,P$6)</f>
        <v>0</v>
      </c>
      <c r="Q86">
        <f>COUNTIFS(Absensi!$D84:$ND84,"CS",Absensi!$D$2:$ND$2,Q$6)</f>
        <v>0</v>
      </c>
      <c r="R86">
        <f>COUNTIFS(Absensi!$D84:$ND84,"CS",Absensi!$D$2:$ND$2,R$6)</f>
        <v>0</v>
      </c>
      <c r="S86">
        <f>COUNTIFS(Absensi!$D84:$ND84,"CS",Absensi!$D$2:$ND$2,S$6)</f>
        <v>0</v>
      </c>
      <c r="T86">
        <f>COUNTIFS(Absensi!$D84:$ND84,"CS",Absensi!$D$2:$ND$2,T$6)</f>
        <v>0</v>
      </c>
      <c r="U86">
        <f>COUNTIFS(Absensi!$D84:$ND84,"CS",Absensi!$D$2:$ND$2,U$6)</f>
        <v>0</v>
      </c>
      <c r="V86">
        <f>COUNTIFS(Absensi!$D84:$ND84,"CS",Absensi!$D$2:$ND$2,V$6)</f>
        <v>0</v>
      </c>
      <c r="W86">
        <f>COUNTIFS(Absensi!$D84:$ND84,"CS",Absensi!$D$2:$ND$2,W$6)</f>
        <v>0</v>
      </c>
      <c r="X86">
        <f>COUNTIFS(Absensi!$D84:$ND84,"CS",Absensi!$D$2:$ND$2,X$6)</f>
        <v>0</v>
      </c>
      <c r="Y86">
        <f>COUNTIFS(Absensi!$D84:$ND84,"CS",Absensi!$D$2:$ND$2,Y$6)</f>
        <v>0</v>
      </c>
      <c r="Z86">
        <f>COUNTIFS(Absensi!$D84:$ND84,"CS",Absensi!$D$2:$ND$2,Z$6)</f>
        <v>0</v>
      </c>
      <c r="AA86">
        <f>COUNTIFS(Absensi!$D84:$ND84,"CS",Absensi!$D$2:$ND$2,AA$6)</f>
        <v>0</v>
      </c>
      <c r="AB86">
        <f>COUNTIFS(Absensi!$D84:$ND84,"CS",Absensi!$D$2:$ND$2,AB$6)</f>
        <v>0</v>
      </c>
      <c r="AC86">
        <f t="shared" si="14"/>
        <v>12</v>
      </c>
      <c r="AD86">
        <f t="shared" si="15"/>
        <v>12</v>
      </c>
      <c r="AE86">
        <f t="shared" si="16"/>
        <v>12</v>
      </c>
      <c r="AF86">
        <f t="shared" si="17"/>
        <v>12</v>
      </c>
      <c r="AG86">
        <f t="shared" si="18"/>
        <v>12</v>
      </c>
      <c r="AH86">
        <f t="shared" si="19"/>
        <v>12</v>
      </c>
      <c r="AI86">
        <f t="shared" si="20"/>
        <v>12</v>
      </c>
      <c r="AJ86">
        <f t="shared" si="21"/>
        <v>12</v>
      </c>
      <c r="AK86">
        <f t="shared" si="22"/>
        <v>12</v>
      </c>
      <c r="AL86">
        <f t="shared" si="23"/>
        <v>12</v>
      </c>
      <c r="AM86">
        <f t="shared" si="24"/>
        <v>12</v>
      </c>
      <c r="AN86">
        <f t="shared" si="25"/>
        <v>12</v>
      </c>
    </row>
    <row r="87" spans="1:40" x14ac:dyDescent="0.25">
      <c r="A87" s="26">
        <v>81</v>
      </c>
      <c r="B87" s="27" t="str">
        <f>Absensi!B85</f>
        <v>GLC</v>
      </c>
      <c r="C87" s="27" t="str">
        <f>Rekap!C87</f>
        <v>FAUZI</v>
      </c>
      <c r="D87" s="46" t="str">
        <f t="shared" si="26"/>
        <v>GLCFAUZI</v>
      </c>
      <c r="E87">
        <f>COUNTIFS(Absensi!$D85:$ND85,"C",Absensi!$D$2:$ND$2,E$6)</f>
        <v>0</v>
      </c>
      <c r="F87">
        <f>COUNTIFS(Absensi!$D85:$ND85,"C",Absensi!$D$2:$ND$2,F$6)</f>
        <v>0</v>
      </c>
      <c r="G87">
        <f>COUNTIFS(Absensi!$D85:$ND85,"C",Absensi!$D$2:$ND$2,G$6)</f>
        <v>0</v>
      </c>
      <c r="H87">
        <f>COUNTIFS(Absensi!$D85:$ND85,"C",Absensi!$D$2:$ND$2,H$6)</f>
        <v>0</v>
      </c>
      <c r="I87">
        <f>COUNTIFS(Absensi!$D85:$ND85,"C",Absensi!$D$2:$ND$2,I$6)</f>
        <v>1</v>
      </c>
      <c r="J87">
        <f>COUNTIFS(Absensi!$D85:$ND85,"C",Absensi!$D$2:$ND$2,J$6)</f>
        <v>0</v>
      </c>
      <c r="K87">
        <f>COUNTIFS(Absensi!$D85:$ND85,"C",Absensi!$D$2:$ND$2,K$6)</f>
        <v>1</v>
      </c>
      <c r="L87">
        <f>COUNTIFS(Absensi!$D85:$ND85,"C",Absensi!$D$2:$ND$2,L$6)</f>
        <v>0</v>
      </c>
      <c r="M87">
        <f>COUNTIFS(Absensi!$D85:$ND85,"C",Absensi!$D$2:$ND$2,M$6)</f>
        <v>3</v>
      </c>
      <c r="N87">
        <f>COUNTIFS(Absensi!$D85:$ND85,"C",Absensi!$D$2:$ND$2,N$6)</f>
        <v>0</v>
      </c>
      <c r="O87">
        <f>COUNTIFS(Absensi!$D85:$ND85,"C",Absensi!$D$2:$ND$2,O$6)</f>
        <v>0</v>
      </c>
      <c r="P87">
        <f>COUNTIFS(Absensi!$D85:$ND85,"C",Absensi!$D$2:$ND$2,P$6)</f>
        <v>0</v>
      </c>
      <c r="Q87">
        <f>COUNTIFS(Absensi!$D85:$ND85,"CS",Absensi!$D$2:$ND$2,Q$6)</f>
        <v>0</v>
      </c>
      <c r="R87">
        <f>COUNTIFS(Absensi!$D85:$ND85,"CS",Absensi!$D$2:$ND$2,R$6)</f>
        <v>0</v>
      </c>
      <c r="S87">
        <f>COUNTIFS(Absensi!$D85:$ND85,"CS",Absensi!$D$2:$ND$2,S$6)</f>
        <v>0</v>
      </c>
      <c r="T87">
        <f>COUNTIFS(Absensi!$D85:$ND85,"CS",Absensi!$D$2:$ND$2,T$6)</f>
        <v>0</v>
      </c>
      <c r="U87">
        <f>COUNTIFS(Absensi!$D85:$ND85,"CS",Absensi!$D$2:$ND$2,U$6)</f>
        <v>0</v>
      </c>
      <c r="V87">
        <f>COUNTIFS(Absensi!$D85:$ND85,"CS",Absensi!$D$2:$ND$2,V$6)</f>
        <v>0</v>
      </c>
      <c r="W87">
        <f>COUNTIFS(Absensi!$D85:$ND85,"CS",Absensi!$D$2:$ND$2,W$6)</f>
        <v>0</v>
      </c>
      <c r="X87">
        <f>COUNTIFS(Absensi!$D85:$ND85,"CS",Absensi!$D$2:$ND$2,X$6)</f>
        <v>0</v>
      </c>
      <c r="Y87">
        <f>COUNTIFS(Absensi!$D85:$ND85,"CS",Absensi!$D$2:$ND$2,Y$6)</f>
        <v>0</v>
      </c>
      <c r="Z87">
        <f>COUNTIFS(Absensi!$D85:$ND85,"CS",Absensi!$D$2:$ND$2,Z$6)</f>
        <v>0</v>
      </c>
      <c r="AA87">
        <f>COUNTIFS(Absensi!$D85:$ND85,"CS",Absensi!$D$2:$ND$2,AA$6)</f>
        <v>0</v>
      </c>
      <c r="AB87">
        <f>COUNTIFS(Absensi!$D85:$ND85,"CS",Absensi!$D$2:$ND$2,AB$6)</f>
        <v>0</v>
      </c>
      <c r="AC87">
        <f t="shared" si="14"/>
        <v>12</v>
      </c>
      <c r="AD87">
        <f t="shared" si="15"/>
        <v>12</v>
      </c>
      <c r="AE87">
        <f t="shared" si="16"/>
        <v>12</v>
      </c>
      <c r="AF87">
        <f t="shared" si="17"/>
        <v>12</v>
      </c>
      <c r="AG87">
        <f t="shared" si="18"/>
        <v>11</v>
      </c>
      <c r="AH87">
        <f t="shared" si="19"/>
        <v>11</v>
      </c>
      <c r="AI87">
        <f t="shared" si="20"/>
        <v>10</v>
      </c>
      <c r="AJ87">
        <f t="shared" si="21"/>
        <v>10</v>
      </c>
      <c r="AK87">
        <f t="shared" si="22"/>
        <v>7</v>
      </c>
      <c r="AL87">
        <f t="shared" si="23"/>
        <v>7</v>
      </c>
      <c r="AM87">
        <f t="shared" si="24"/>
        <v>7</v>
      </c>
      <c r="AN87">
        <f t="shared" si="25"/>
        <v>7</v>
      </c>
    </row>
    <row r="88" spans="1:40" x14ac:dyDescent="0.25">
      <c r="A88" s="26">
        <v>82</v>
      </c>
      <c r="B88" s="27" t="str">
        <f>Absensi!B86</f>
        <v>GLC</v>
      </c>
      <c r="C88" s="27" t="str">
        <f>Rekap!C88</f>
        <v>SALWA</v>
      </c>
      <c r="D88" s="46" t="str">
        <f t="shared" si="26"/>
        <v>GLCSALWA</v>
      </c>
      <c r="E88">
        <f>COUNTIFS(Absensi!$D86:$ND86,"C",Absensi!$D$2:$ND$2,E$6)</f>
        <v>5</v>
      </c>
      <c r="F88">
        <f>COUNTIFS(Absensi!$D86:$ND86,"C",Absensi!$D$2:$ND$2,F$6)</f>
        <v>0</v>
      </c>
      <c r="G88">
        <f>COUNTIFS(Absensi!$D86:$ND86,"C",Absensi!$D$2:$ND$2,G$6)</f>
        <v>0</v>
      </c>
      <c r="H88">
        <f>COUNTIFS(Absensi!$D86:$ND86,"C",Absensi!$D$2:$ND$2,H$6)</f>
        <v>0</v>
      </c>
      <c r="I88">
        <f>COUNTIFS(Absensi!$D86:$ND86,"C",Absensi!$D$2:$ND$2,I$6)</f>
        <v>0</v>
      </c>
      <c r="J88">
        <f>COUNTIFS(Absensi!$D86:$ND86,"C",Absensi!$D$2:$ND$2,J$6)</f>
        <v>0</v>
      </c>
      <c r="K88">
        <f>COUNTIFS(Absensi!$D86:$ND86,"C",Absensi!$D$2:$ND$2,K$6)</f>
        <v>1</v>
      </c>
      <c r="L88">
        <f>COUNTIFS(Absensi!$D86:$ND86,"C",Absensi!$D$2:$ND$2,L$6)</f>
        <v>0</v>
      </c>
      <c r="M88">
        <f>COUNTIFS(Absensi!$D86:$ND86,"C",Absensi!$D$2:$ND$2,M$6)</f>
        <v>0</v>
      </c>
      <c r="N88">
        <f>COUNTIFS(Absensi!$D86:$ND86,"C",Absensi!$D$2:$ND$2,N$6)</f>
        <v>0</v>
      </c>
      <c r="O88">
        <f>COUNTIFS(Absensi!$D86:$ND86,"C",Absensi!$D$2:$ND$2,O$6)</f>
        <v>0</v>
      </c>
      <c r="P88">
        <f>COUNTIFS(Absensi!$D86:$ND86,"C",Absensi!$D$2:$ND$2,P$6)</f>
        <v>0</v>
      </c>
      <c r="Q88">
        <f>COUNTIFS(Absensi!$D86:$ND86,"CS",Absensi!$D$2:$ND$2,Q$6)</f>
        <v>0</v>
      </c>
      <c r="R88">
        <f>COUNTIFS(Absensi!$D86:$ND86,"CS",Absensi!$D$2:$ND$2,R$6)</f>
        <v>0</v>
      </c>
      <c r="S88">
        <f>COUNTIFS(Absensi!$D86:$ND86,"CS",Absensi!$D$2:$ND$2,S$6)</f>
        <v>0</v>
      </c>
      <c r="T88">
        <f>COUNTIFS(Absensi!$D86:$ND86,"CS",Absensi!$D$2:$ND$2,T$6)</f>
        <v>0</v>
      </c>
      <c r="U88">
        <f>COUNTIFS(Absensi!$D86:$ND86,"CS",Absensi!$D$2:$ND$2,U$6)</f>
        <v>0</v>
      </c>
      <c r="V88">
        <f>COUNTIFS(Absensi!$D86:$ND86,"CS",Absensi!$D$2:$ND$2,V$6)</f>
        <v>0</v>
      </c>
      <c r="W88">
        <f>COUNTIFS(Absensi!$D86:$ND86,"CS",Absensi!$D$2:$ND$2,W$6)</f>
        <v>0</v>
      </c>
      <c r="X88">
        <f>COUNTIFS(Absensi!$D86:$ND86,"CS",Absensi!$D$2:$ND$2,X$6)</f>
        <v>0</v>
      </c>
      <c r="Y88">
        <f>COUNTIFS(Absensi!$D86:$ND86,"CS",Absensi!$D$2:$ND$2,Y$6)</f>
        <v>0</v>
      </c>
      <c r="Z88">
        <f>COUNTIFS(Absensi!$D86:$ND86,"CS",Absensi!$D$2:$ND$2,Z$6)</f>
        <v>0</v>
      </c>
      <c r="AA88">
        <f>COUNTIFS(Absensi!$D86:$ND86,"CS",Absensi!$D$2:$ND$2,AA$6)</f>
        <v>0</v>
      </c>
      <c r="AB88">
        <f>COUNTIFS(Absensi!$D86:$ND86,"CS",Absensi!$D$2:$ND$2,AB$6)</f>
        <v>0</v>
      </c>
      <c r="AC88">
        <f t="shared" si="14"/>
        <v>7</v>
      </c>
      <c r="AD88">
        <f t="shared" si="15"/>
        <v>7</v>
      </c>
      <c r="AE88">
        <f t="shared" si="16"/>
        <v>7</v>
      </c>
      <c r="AF88">
        <f t="shared" si="17"/>
        <v>7</v>
      </c>
      <c r="AG88">
        <f t="shared" si="18"/>
        <v>7</v>
      </c>
      <c r="AH88">
        <f t="shared" si="19"/>
        <v>7</v>
      </c>
      <c r="AI88">
        <f t="shared" si="20"/>
        <v>6</v>
      </c>
      <c r="AJ88">
        <f t="shared" si="21"/>
        <v>6</v>
      </c>
      <c r="AK88">
        <f t="shared" si="22"/>
        <v>6</v>
      </c>
      <c r="AL88">
        <f t="shared" si="23"/>
        <v>6</v>
      </c>
      <c r="AM88">
        <f t="shared" si="24"/>
        <v>6</v>
      </c>
      <c r="AN88">
        <f t="shared" si="25"/>
        <v>6</v>
      </c>
    </row>
    <row r="89" spans="1:40" x14ac:dyDescent="0.25">
      <c r="A89" s="26">
        <v>83</v>
      </c>
      <c r="B89" s="27" t="str">
        <f>Absensi!B87</f>
        <v>Tanjung Duren</v>
      </c>
      <c r="C89" s="27" t="str">
        <f>Rekap!C89</f>
        <v>Agung</v>
      </c>
      <c r="D89" s="46" t="str">
        <f t="shared" si="26"/>
        <v>Tanjung DurenAgung</v>
      </c>
      <c r="E89">
        <f>COUNTIFS(Absensi!$D87:$ND87,"C",Absensi!$D$2:$ND$2,E$6)</f>
        <v>0</v>
      </c>
      <c r="F89">
        <f>COUNTIFS(Absensi!$D87:$ND87,"C",Absensi!$D$2:$ND$2,F$6)</f>
        <v>0</v>
      </c>
      <c r="G89">
        <f>COUNTIFS(Absensi!$D87:$ND87,"C",Absensi!$D$2:$ND$2,G$6)</f>
        <v>0</v>
      </c>
      <c r="H89">
        <f>COUNTIFS(Absensi!$D87:$ND87,"C",Absensi!$D$2:$ND$2,H$6)</f>
        <v>0</v>
      </c>
      <c r="I89">
        <f>COUNTIFS(Absensi!$D87:$ND87,"C",Absensi!$D$2:$ND$2,I$6)</f>
        <v>0</v>
      </c>
      <c r="J89">
        <f>COUNTIFS(Absensi!$D87:$ND87,"C",Absensi!$D$2:$ND$2,J$6)</f>
        <v>3</v>
      </c>
      <c r="K89">
        <f>COUNTIFS(Absensi!$D87:$ND87,"C",Absensi!$D$2:$ND$2,K$6)</f>
        <v>3</v>
      </c>
      <c r="L89">
        <f>COUNTIFS(Absensi!$D87:$ND87,"C",Absensi!$D$2:$ND$2,L$6)</f>
        <v>0</v>
      </c>
      <c r="M89">
        <f>COUNTIFS(Absensi!$D87:$ND87,"C",Absensi!$D$2:$ND$2,M$6)</f>
        <v>0</v>
      </c>
      <c r="N89">
        <f>COUNTIFS(Absensi!$D87:$ND87,"C",Absensi!$D$2:$ND$2,N$6)</f>
        <v>0</v>
      </c>
      <c r="O89">
        <f>COUNTIFS(Absensi!$D87:$ND87,"C",Absensi!$D$2:$ND$2,O$6)</f>
        <v>0</v>
      </c>
      <c r="P89">
        <f>COUNTIFS(Absensi!$D87:$ND87,"C",Absensi!$D$2:$ND$2,P$6)</f>
        <v>0</v>
      </c>
      <c r="Q89">
        <f>COUNTIFS(Absensi!$D87:$ND87,"CS",Absensi!$D$2:$ND$2,Q$6)</f>
        <v>0</v>
      </c>
      <c r="R89">
        <f>COUNTIFS(Absensi!$D87:$ND87,"CS",Absensi!$D$2:$ND$2,R$6)</f>
        <v>0</v>
      </c>
      <c r="S89">
        <f>COUNTIFS(Absensi!$D87:$ND87,"CS",Absensi!$D$2:$ND$2,S$6)</f>
        <v>0</v>
      </c>
      <c r="T89">
        <f>COUNTIFS(Absensi!$D87:$ND87,"CS",Absensi!$D$2:$ND$2,T$6)</f>
        <v>0</v>
      </c>
      <c r="U89">
        <f>COUNTIFS(Absensi!$D87:$ND87,"CS",Absensi!$D$2:$ND$2,U$6)</f>
        <v>0</v>
      </c>
      <c r="V89">
        <f>COUNTIFS(Absensi!$D87:$ND87,"CS",Absensi!$D$2:$ND$2,V$6)</f>
        <v>0</v>
      </c>
      <c r="W89">
        <f>COUNTIFS(Absensi!$D87:$ND87,"CS",Absensi!$D$2:$ND$2,W$6)</f>
        <v>0</v>
      </c>
      <c r="X89">
        <f>COUNTIFS(Absensi!$D87:$ND87,"CS",Absensi!$D$2:$ND$2,X$6)</f>
        <v>0</v>
      </c>
      <c r="Y89">
        <f>COUNTIFS(Absensi!$D87:$ND87,"CS",Absensi!$D$2:$ND$2,Y$6)</f>
        <v>0</v>
      </c>
      <c r="Z89">
        <f>COUNTIFS(Absensi!$D87:$ND87,"CS",Absensi!$D$2:$ND$2,Z$6)</f>
        <v>0</v>
      </c>
      <c r="AA89">
        <f>COUNTIFS(Absensi!$D87:$ND87,"CS",Absensi!$D$2:$ND$2,AA$6)</f>
        <v>0</v>
      </c>
      <c r="AB89">
        <f>COUNTIFS(Absensi!$D87:$ND87,"CS",Absensi!$D$2:$ND$2,AB$6)</f>
        <v>0</v>
      </c>
      <c r="AC89">
        <f t="shared" si="14"/>
        <v>12</v>
      </c>
      <c r="AD89">
        <f t="shared" si="15"/>
        <v>12</v>
      </c>
      <c r="AE89">
        <f t="shared" si="16"/>
        <v>12</v>
      </c>
      <c r="AF89">
        <f t="shared" si="17"/>
        <v>12</v>
      </c>
      <c r="AG89">
        <f t="shared" si="18"/>
        <v>12</v>
      </c>
      <c r="AH89">
        <f t="shared" si="19"/>
        <v>9</v>
      </c>
      <c r="AI89">
        <f t="shared" si="20"/>
        <v>6</v>
      </c>
      <c r="AJ89">
        <f t="shared" si="21"/>
        <v>6</v>
      </c>
      <c r="AK89">
        <f t="shared" si="22"/>
        <v>6</v>
      </c>
      <c r="AL89">
        <f t="shared" si="23"/>
        <v>6</v>
      </c>
      <c r="AM89">
        <f t="shared" si="24"/>
        <v>6</v>
      </c>
      <c r="AN89">
        <f t="shared" si="25"/>
        <v>6</v>
      </c>
    </row>
    <row r="90" spans="1:40" x14ac:dyDescent="0.25">
      <c r="A90" s="26">
        <v>84</v>
      </c>
      <c r="B90" s="27" t="str">
        <f>Absensi!B88</f>
        <v>Tanjung Duren</v>
      </c>
      <c r="C90" s="27" t="str">
        <f>Rekap!C90</f>
        <v>Bany</v>
      </c>
      <c r="D90" s="46" t="str">
        <f t="shared" si="26"/>
        <v>Tanjung DurenBany</v>
      </c>
      <c r="E90">
        <f>COUNTIFS(Absensi!$D88:$ND88,"C",Absensi!$D$2:$ND$2,E$6)</f>
        <v>0</v>
      </c>
      <c r="F90">
        <f>COUNTIFS(Absensi!$D88:$ND88,"C",Absensi!$D$2:$ND$2,F$6)</f>
        <v>0</v>
      </c>
      <c r="G90">
        <f>COUNTIFS(Absensi!$D88:$ND88,"C",Absensi!$D$2:$ND$2,G$6)</f>
        <v>0</v>
      </c>
      <c r="H90">
        <f>COUNTIFS(Absensi!$D88:$ND88,"C",Absensi!$D$2:$ND$2,H$6)</f>
        <v>0</v>
      </c>
      <c r="I90">
        <f>COUNTIFS(Absensi!$D88:$ND88,"C",Absensi!$D$2:$ND$2,I$6)</f>
        <v>0</v>
      </c>
      <c r="J90">
        <f>COUNTIFS(Absensi!$D88:$ND88,"C",Absensi!$D$2:$ND$2,J$6)</f>
        <v>0</v>
      </c>
      <c r="K90">
        <f>COUNTIFS(Absensi!$D88:$ND88,"C",Absensi!$D$2:$ND$2,K$6)</f>
        <v>0</v>
      </c>
      <c r="L90">
        <f>COUNTIFS(Absensi!$D88:$ND88,"C",Absensi!$D$2:$ND$2,L$6)</f>
        <v>0</v>
      </c>
      <c r="M90">
        <f>COUNTIFS(Absensi!$D88:$ND88,"C",Absensi!$D$2:$ND$2,M$6)</f>
        <v>0</v>
      </c>
      <c r="N90">
        <f>COUNTIFS(Absensi!$D88:$ND88,"C",Absensi!$D$2:$ND$2,N$6)</f>
        <v>0</v>
      </c>
      <c r="O90">
        <f>COUNTIFS(Absensi!$D88:$ND88,"C",Absensi!$D$2:$ND$2,O$6)</f>
        <v>0</v>
      </c>
      <c r="P90">
        <f>COUNTIFS(Absensi!$D88:$ND88,"C",Absensi!$D$2:$ND$2,P$6)</f>
        <v>0</v>
      </c>
      <c r="Q90">
        <f>COUNTIFS(Absensi!$D88:$ND88,"CS",Absensi!$D$2:$ND$2,Q$6)</f>
        <v>0</v>
      </c>
      <c r="R90">
        <f>COUNTIFS(Absensi!$D88:$ND88,"CS",Absensi!$D$2:$ND$2,R$6)</f>
        <v>0</v>
      </c>
      <c r="S90">
        <f>COUNTIFS(Absensi!$D88:$ND88,"CS",Absensi!$D$2:$ND$2,S$6)</f>
        <v>0</v>
      </c>
      <c r="T90">
        <f>COUNTIFS(Absensi!$D88:$ND88,"CS",Absensi!$D$2:$ND$2,T$6)</f>
        <v>0</v>
      </c>
      <c r="U90">
        <f>COUNTIFS(Absensi!$D88:$ND88,"CS",Absensi!$D$2:$ND$2,U$6)</f>
        <v>0</v>
      </c>
      <c r="V90">
        <f>COUNTIFS(Absensi!$D88:$ND88,"CS",Absensi!$D$2:$ND$2,V$6)</f>
        <v>0</v>
      </c>
      <c r="W90">
        <f>COUNTIFS(Absensi!$D88:$ND88,"CS",Absensi!$D$2:$ND$2,W$6)</f>
        <v>0</v>
      </c>
      <c r="X90">
        <f>COUNTIFS(Absensi!$D88:$ND88,"CS",Absensi!$D$2:$ND$2,X$6)</f>
        <v>0</v>
      </c>
      <c r="Y90">
        <f>COUNTIFS(Absensi!$D88:$ND88,"CS",Absensi!$D$2:$ND$2,Y$6)</f>
        <v>0</v>
      </c>
      <c r="Z90">
        <f>COUNTIFS(Absensi!$D88:$ND88,"CS",Absensi!$D$2:$ND$2,Z$6)</f>
        <v>0</v>
      </c>
      <c r="AA90">
        <f>COUNTIFS(Absensi!$D88:$ND88,"CS",Absensi!$D$2:$ND$2,AA$6)</f>
        <v>0</v>
      </c>
      <c r="AB90">
        <f>COUNTIFS(Absensi!$D88:$ND88,"CS",Absensi!$D$2:$ND$2,AB$6)</f>
        <v>0</v>
      </c>
      <c r="AC90">
        <f t="shared" si="14"/>
        <v>12</v>
      </c>
      <c r="AD90">
        <f t="shared" si="15"/>
        <v>12</v>
      </c>
      <c r="AE90">
        <f t="shared" si="16"/>
        <v>12</v>
      </c>
      <c r="AF90">
        <f t="shared" si="17"/>
        <v>12</v>
      </c>
      <c r="AG90">
        <f t="shared" si="18"/>
        <v>12</v>
      </c>
      <c r="AH90">
        <f t="shared" si="19"/>
        <v>12</v>
      </c>
      <c r="AI90">
        <f t="shared" si="20"/>
        <v>12</v>
      </c>
      <c r="AJ90">
        <f t="shared" si="21"/>
        <v>12</v>
      </c>
      <c r="AK90">
        <f t="shared" si="22"/>
        <v>12</v>
      </c>
      <c r="AL90">
        <f t="shared" si="23"/>
        <v>12</v>
      </c>
      <c r="AM90">
        <f t="shared" si="24"/>
        <v>12</v>
      </c>
      <c r="AN90">
        <f t="shared" si="25"/>
        <v>12</v>
      </c>
    </row>
    <row r="91" spans="1:40" x14ac:dyDescent="0.25">
      <c r="A91" s="26">
        <v>85</v>
      </c>
      <c r="B91" s="27" t="str">
        <f>Absensi!B89</f>
        <v>Tanjung Duren</v>
      </c>
      <c r="C91" s="27" t="str">
        <f>Rekap!C91</f>
        <v>Afrizal</v>
      </c>
      <c r="D91" s="46" t="str">
        <f t="shared" si="26"/>
        <v>Tanjung DurenAfrizal</v>
      </c>
      <c r="E91">
        <f>COUNTIFS(Absensi!$D89:$ND89,"C",Absensi!$D$2:$ND$2,E$6)</f>
        <v>0</v>
      </c>
      <c r="F91">
        <f>COUNTIFS(Absensi!$D89:$ND89,"C",Absensi!$D$2:$ND$2,F$6)</f>
        <v>0</v>
      </c>
      <c r="G91">
        <f>COUNTIFS(Absensi!$D89:$ND89,"C",Absensi!$D$2:$ND$2,G$6)</f>
        <v>0</v>
      </c>
      <c r="H91">
        <f>COUNTIFS(Absensi!$D89:$ND89,"C",Absensi!$D$2:$ND$2,H$6)</f>
        <v>0</v>
      </c>
      <c r="I91">
        <f>COUNTIFS(Absensi!$D89:$ND89,"C",Absensi!$D$2:$ND$2,I$6)</f>
        <v>0</v>
      </c>
      <c r="J91">
        <f>COUNTIFS(Absensi!$D89:$ND89,"C",Absensi!$D$2:$ND$2,J$6)</f>
        <v>0</v>
      </c>
      <c r="K91">
        <f>COUNTIFS(Absensi!$D89:$ND89,"C",Absensi!$D$2:$ND$2,K$6)</f>
        <v>0</v>
      </c>
      <c r="L91">
        <f>COUNTIFS(Absensi!$D89:$ND89,"C",Absensi!$D$2:$ND$2,L$6)</f>
        <v>1</v>
      </c>
      <c r="M91">
        <f>COUNTIFS(Absensi!$D89:$ND89,"C",Absensi!$D$2:$ND$2,M$6)</f>
        <v>3</v>
      </c>
      <c r="N91">
        <f>COUNTIFS(Absensi!$D89:$ND89,"C",Absensi!$D$2:$ND$2,N$6)</f>
        <v>0</v>
      </c>
      <c r="O91">
        <f>COUNTIFS(Absensi!$D89:$ND89,"C",Absensi!$D$2:$ND$2,O$6)</f>
        <v>0</v>
      </c>
      <c r="P91">
        <f>COUNTIFS(Absensi!$D89:$ND89,"C",Absensi!$D$2:$ND$2,P$6)</f>
        <v>0</v>
      </c>
      <c r="Q91">
        <f>COUNTIFS(Absensi!$D89:$ND89,"CS",Absensi!$D$2:$ND$2,Q$6)</f>
        <v>0</v>
      </c>
      <c r="R91">
        <f>COUNTIFS(Absensi!$D89:$ND89,"CS",Absensi!$D$2:$ND$2,R$6)</f>
        <v>0</v>
      </c>
      <c r="S91">
        <f>COUNTIFS(Absensi!$D89:$ND89,"CS",Absensi!$D$2:$ND$2,S$6)</f>
        <v>0</v>
      </c>
      <c r="T91">
        <f>COUNTIFS(Absensi!$D89:$ND89,"CS",Absensi!$D$2:$ND$2,T$6)</f>
        <v>0</v>
      </c>
      <c r="U91">
        <f>COUNTIFS(Absensi!$D89:$ND89,"CS",Absensi!$D$2:$ND$2,U$6)</f>
        <v>0</v>
      </c>
      <c r="V91">
        <f>COUNTIFS(Absensi!$D89:$ND89,"CS",Absensi!$D$2:$ND$2,V$6)</f>
        <v>0</v>
      </c>
      <c r="W91">
        <f>COUNTIFS(Absensi!$D89:$ND89,"CS",Absensi!$D$2:$ND$2,W$6)</f>
        <v>0</v>
      </c>
      <c r="X91">
        <f>COUNTIFS(Absensi!$D89:$ND89,"CS",Absensi!$D$2:$ND$2,X$6)</f>
        <v>0</v>
      </c>
      <c r="Y91">
        <f>COUNTIFS(Absensi!$D89:$ND89,"CS",Absensi!$D$2:$ND$2,Y$6)</f>
        <v>0</v>
      </c>
      <c r="Z91">
        <f>COUNTIFS(Absensi!$D89:$ND89,"CS",Absensi!$D$2:$ND$2,Z$6)</f>
        <v>0</v>
      </c>
      <c r="AA91">
        <f>COUNTIFS(Absensi!$D89:$ND89,"CS",Absensi!$D$2:$ND$2,AA$6)</f>
        <v>0</v>
      </c>
      <c r="AB91">
        <f>COUNTIFS(Absensi!$D89:$ND89,"CS",Absensi!$D$2:$ND$2,AB$6)</f>
        <v>0</v>
      </c>
      <c r="AC91">
        <f t="shared" si="14"/>
        <v>12</v>
      </c>
      <c r="AD91">
        <f t="shared" si="15"/>
        <v>12</v>
      </c>
      <c r="AE91">
        <f t="shared" si="16"/>
        <v>12</v>
      </c>
      <c r="AF91">
        <f t="shared" si="17"/>
        <v>12</v>
      </c>
      <c r="AG91">
        <f t="shared" si="18"/>
        <v>12</v>
      </c>
      <c r="AH91">
        <f t="shared" si="19"/>
        <v>12</v>
      </c>
      <c r="AI91">
        <f t="shared" si="20"/>
        <v>12</v>
      </c>
      <c r="AJ91">
        <f t="shared" si="21"/>
        <v>11</v>
      </c>
      <c r="AK91">
        <f t="shared" si="22"/>
        <v>8</v>
      </c>
      <c r="AL91">
        <f t="shared" si="23"/>
        <v>8</v>
      </c>
      <c r="AM91">
        <f t="shared" si="24"/>
        <v>8</v>
      </c>
      <c r="AN91">
        <f t="shared" si="25"/>
        <v>8</v>
      </c>
    </row>
    <row r="92" spans="1:40" x14ac:dyDescent="0.25">
      <c r="A92" s="26">
        <v>86</v>
      </c>
      <c r="B92" s="27" t="str">
        <f>Absensi!B90</f>
        <v>Tanjung Duren</v>
      </c>
      <c r="C92" s="27" t="str">
        <f>Rekap!C92</f>
        <v>Tri kartika</v>
      </c>
      <c r="D92" s="46" t="str">
        <f t="shared" si="26"/>
        <v>Tanjung DurenTri kartika</v>
      </c>
      <c r="E92">
        <f>COUNTIFS(Absensi!$D90:$ND90,"C",Absensi!$D$2:$ND$2,E$6)</f>
        <v>1</v>
      </c>
      <c r="F92">
        <f>COUNTIFS(Absensi!$D90:$ND90,"C",Absensi!$D$2:$ND$2,F$6)</f>
        <v>0</v>
      </c>
      <c r="G92">
        <f>COUNTIFS(Absensi!$D90:$ND90,"C",Absensi!$D$2:$ND$2,G$6)</f>
        <v>3</v>
      </c>
      <c r="H92">
        <f>COUNTIFS(Absensi!$D90:$ND90,"C",Absensi!$D$2:$ND$2,H$6)</f>
        <v>3</v>
      </c>
      <c r="I92">
        <f>COUNTIFS(Absensi!$D90:$ND90,"C",Absensi!$D$2:$ND$2,I$6)</f>
        <v>0</v>
      </c>
      <c r="J92">
        <f>COUNTIFS(Absensi!$D90:$ND90,"C",Absensi!$D$2:$ND$2,J$6)</f>
        <v>0</v>
      </c>
      <c r="K92">
        <f>COUNTIFS(Absensi!$D90:$ND90,"C",Absensi!$D$2:$ND$2,K$6)</f>
        <v>0</v>
      </c>
      <c r="L92">
        <f>COUNTIFS(Absensi!$D90:$ND90,"C",Absensi!$D$2:$ND$2,L$6)</f>
        <v>0</v>
      </c>
      <c r="M92">
        <f>COUNTIFS(Absensi!$D90:$ND90,"C",Absensi!$D$2:$ND$2,M$6)</f>
        <v>2</v>
      </c>
      <c r="N92">
        <f>COUNTIFS(Absensi!$D90:$ND90,"C",Absensi!$D$2:$ND$2,N$6)</f>
        <v>0</v>
      </c>
      <c r="O92">
        <f>COUNTIFS(Absensi!$D90:$ND90,"C",Absensi!$D$2:$ND$2,O$6)</f>
        <v>0</v>
      </c>
      <c r="P92">
        <f>COUNTIFS(Absensi!$D90:$ND90,"C",Absensi!$D$2:$ND$2,P$6)</f>
        <v>0</v>
      </c>
      <c r="Q92">
        <f>COUNTIFS(Absensi!$D90:$ND90,"CS",Absensi!$D$2:$ND$2,Q$6)</f>
        <v>0</v>
      </c>
      <c r="R92">
        <f>COUNTIFS(Absensi!$D90:$ND90,"CS",Absensi!$D$2:$ND$2,R$6)</f>
        <v>0</v>
      </c>
      <c r="S92">
        <f>COUNTIFS(Absensi!$D90:$ND90,"CS",Absensi!$D$2:$ND$2,S$6)</f>
        <v>0</v>
      </c>
      <c r="T92">
        <f>COUNTIFS(Absensi!$D90:$ND90,"CS",Absensi!$D$2:$ND$2,T$6)</f>
        <v>0</v>
      </c>
      <c r="U92">
        <f>COUNTIFS(Absensi!$D90:$ND90,"CS",Absensi!$D$2:$ND$2,U$6)</f>
        <v>0</v>
      </c>
      <c r="V92">
        <f>COUNTIFS(Absensi!$D90:$ND90,"CS",Absensi!$D$2:$ND$2,V$6)</f>
        <v>0</v>
      </c>
      <c r="W92">
        <f>COUNTIFS(Absensi!$D90:$ND90,"CS",Absensi!$D$2:$ND$2,W$6)</f>
        <v>0</v>
      </c>
      <c r="X92">
        <f>COUNTIFS(Absensi!$D90:$ND90,"CS",Absensi!$D$2:$ND$2,X$6)</f>
        <v>0</v>
      </c>
      <c r="Y92">
        <f>COUNTIFS(Absensi!$D90:$ND90,"CS",Absensi!$D$2:$ND$2,Y$6)</f>
        <v>0</v>
      </c>
      <c r="Z92">
        <f>COUNTIFS(Absensi!$D90:$ND90,"CS",Absensi!$D$2:$ND$2,Z$6)</f>
        <v>0</v>
      </c>
      <c r="AA92">
        <f>COUNTIFS(Absensi!$D90:$ND90,"CS",Absensi!$D$2:$ND$2,AA$6)</f>
        <v>0</v>
      </c>
      <c r="AB92">
        <f>COUNTIFS(Absensi!$D90:$ND90,"CS",Absensi!$D$2:$ND$2,AB$6)</f>
        <v>0</v>
      </c>
      <c r="AC92">
        <f t="shared" si="14"/>
        <v>11</v>
      </c>
      <c r="AD92">
        <f t="shared" si="15"/>
        <v>11</v>
      </c>
      <c r="AE92">
        <f t="shared" si="16"/>
        <v>8</v>
      </c>
      <c r="AF92">
        <f t="shared" si="17"/>
        <v>5</v>
      </c>
      <c r="AG92">
        <f t="shared" si="18"/>
        <v>5</v>
      </c>
      <c r="AH92">
        <f t="shared" si="19"/>
        <v>5</v>
      </c>
      <c r="AI92">
        <f t="shared" si="20"/>
        <v>5</v>
      </c>
      <c r="AJ92">
        <f t="shared" si="21"/>
        <v>5</v>
      </c>
      <c r="AK92">
        <f t="shared" si="22"/>
        <v>3</v>
      </c>
      <c r="AL92">
        <f t="shared" si="23"/>
        <v>3</v>
      </c>
      <c r="AM92">
        <f t="shared" si="24"/>
        <v>3</v>
      </c>
      <c r="AN92">
        <f t="shared" si="25"/>
        <v>3</v>
      </c>
    </row>
    <row r="93" spans="1:40" x14ac:dyDescent="0.25">
      <c r="A93" s="26">
        <v>87</v>
      </c>
      <c r="B93" s="27" t="str">
        <f>Absensi!B91</f>
        <v>IDD</v>
      </c>
      <c r="C93" s="27" t="str">
        <f>Rekap!C93</f>
        <v>Aulia</v>
      </c>
      <c r="D93" s="46" t="str">
        <f t="shared" si="26"/>
        <v>IDDAulia</v>
      </c>
      <c r="E93">
        <f>COUNTIFS(Absensi!$D91:$ND91,"C",Absensi!$D$2:$ND$2,E$6)</f>
        <v>0</v>
      </c>
      <c r="F93">
        <f>COUNTIFS(Absensi!$D91:$ND91,"C",Absensi!$D$2:$ND$2,F$6)</f>
        <v>0</v>
      </c>
      <c r="G93">
        <f>COUNTIFS(Absensi!$D91:$ND91,"C",Absensi!$D$2:$ND$2,G$6)</f>
        <v>0</v>
      </c>
      <c r="H93">
        <f>COUNTIFS(Absensi!$D91:$ND91,"C",Absensi!$D$2:$ND$2,H$6)</f>
        <v>0</v>
      </c>
      <c r="I93">
        <f>COUNTIFS(Absensi!$D91:$ND91,"C",Absensi!$D$2:$ND$2,I$6)</f>
        <v>0</v>
      </c>
      <c r="J93">
        <f>COUNTIFS(Absensi!$D91:$ND91,"C",Absensi!$D$2:$ND$2,J$6)</f>
        <v>0</v>
      </c>
      <c r="K93">
        <f>COUNTIFS(Absensi!$D91:$ND91,"C",Absensi!$D$2:$ND$2,K$6)</f>
        <v>0</v>
      </c>
      <c r="L93">
        <f>COUNTIFS(Absensi!$D91:$ND91,"C",Absensi!$D$2:$ND$2,L$6)</f>
        <v>0</v>
      </c>
      <c r="M93">
        <f>COUNTIFS(Absensi!$D91:$ND91,"C",Absensi!$D$2:$ND$2,M$6)</f>
        <v>7</v>
      </c>
      <c r="N93">
        <f>COUNTIFS(Absensi!$D91:$ND91,"C",Absensi!$D$2:$ND$2,N$6)</f>
        <v>0</v>
      </c>
      <c r="O93">
        <f>COUNTIFS(Absensi!$D91:$ND91,"C",Absensi!$D$2:$ND$2,O$6)</f>
        <v>0</v>
      </c>
      <c r="P93">
        <f>COUNTIFS(Absensi!$D91:$ND91,"C",Absensi!$D$2:$ND$2,P$6)</f>
        <v>0</v>
      </c>
      <c r="Q93">
        <f>COUNTIFS(Absensi!$D91:$ND91,"CS",Absensi!$D$2:$ND$2,Q$6)</f>
        <v>0</v>
      </c>
      <c r="R93">
        <f>COUNTIFS(Absensi!$D91:$ND91,"CS",Absensi!$D$2:$ND$2,R$6)</f>
        <v>0</v>
      </c>
      <c r="S93">
        <f>COUNTIFS(Absensi!$D91:$ND91,"CS",Absensi!$D$2:$ND$2,S$6)</f>
        <v>0</v>
      </c>
      <c r="T93">
        <f>COUNTIFS(Absensi!$D91:$ND91,"CS",Absensi!$D$2:$ND$2,T$6)</f>
        <v>0</v>
      </c>
      <c r="U93">
        <f>COUNTIFS(Absensi!$D91:$ND91,"CS",Absensi!$D$2:$ND$2,U$6)</f>
        <v>0</v>
      </c>
      <c r="V93">
        <f>COUNTIFS(Absensi!$D91:$ND91,"CS",Absensi!$D$2:$ND$2,V$6)</f>
        <v>0</v>
      </c>
      <c r="W93">
        <f>COUNTIFS(Absensi!$D91:$ND91,"CS",Absensi!$D$2:$ND$2,W$6)</f>
        <v>0</v>
      </c>
      <c r="X93">
        <f>COUNTIFS(Absensi!$D91:$ND91,"CS",Absensi!$D$2:$ND$2,X$6)</f>
        <v>0</v>
      </c>
      <c r="Y93">
        <f>COUNTIFS(Absensi!$D91:$ND91,"CS",Absensi!$D$2:$ND$2,Y$6)</f>
        <v>0</v>
      </c>
      <c r="Z93">
        <f>COUNTIFS(Absensi!$D91:$ND91,"CS",Absensi!$D$2:$ND$2,Z$6)</f>
        <v>0</v>
      </c>
      <c r="AA93">
        <f>COUNTIFS(Absensi!$D91:$ND91,"CS",Absensi!$D$2:$ND$2,AA$6)</f>
        <v>0</v>
      </c>
      <c r="AB93">
        <f>COUNTIFS(Absensi!$D91:$ND91,"CS",Absensi!$D$2:$ND$2,AB$6)</f>
        <v>0</v>
      </c>
      <c r="AC93">
        <f t="shared" si="14"/>
        <v>12</v>
      </c>
      <c r="AD93">
        <f t="shared" si="15"/>
        <v>12</v>
      </c>
      <c r="AE93">
        <f t="shared" si="16"/>
        <v>12</v>
      </c>
      <c r="AF93">
        <f t="shared" si="17"/>
        <v>12</v>
      </c>
      <c r="AG93">
        <f t="shared" si="18"/>
        <v>12</v>
      </c>
      <c r="AH93">
        <f t="shared" si="19"/>
        <v>12</v>
      </c>
      <c r="AI93">
        <f t="shared" si="20"/>
        <v>12</v>
      </c>
      <c r="AJ93">
        <f t="shared" si="21"/>
        <v>12</v>
      </c>
      <c r="AK93">
        <f t="shared" si="22"/>
        <v>5</v>
      </c>
      <c r="AL93">
        <f t="shared" si="23"/>
        <v>5</v>
      </c>
      <c r="AM93">
        <f t="shared" si="24"/>
        <v>5</v>
      </c>
      <c r="AN93">
        <f t="shared" si="25"/>
        <v>5</v>
      </c>
    </row>
    <row r="94" spans="1:40" x14ac:dyDescent="0.25">
      <c r="A94" s="26">
        <v>88</v>
      </c>
      <c r="B94" s="27" t="str">
        <f>Absensi!B92</f>
        <v>IDD</v>
      </c>
      <c r="C94" s="27" t="str">
        <f>Rekap!C94</f>
        <v>Neneng nurasiah</v>
      </c>
      <c r="D94" s="46" t="str">
        <f t="shared" si="26"/>
        <v>IDDNeneng nurasiah</v>
      </c>
      <c r="E94">
        <f>COUNTIFS(Absensi!$D92:$ND92,"C",Absensi!$D$2:$ND$2,E$6)</f>
        <v>0</v>
      </c>
      <c r="F94">
        <f>COUNTIFS(Absensi!$D92:$ND92,"C",Absensi!$D$2:$ND$2,F$6)</f>
        <v>0</v>
      </c>
      <c r="G94">
        <f>COUNTIFS(Absensi!$D92:$ND92,"C",Absensi!$D$2:$ND$2,G$6)</f>
        <v>0</v>
      </c>
      <c r="H94">
        <f>COUNTIFS(Absensi!$D92:$ND92,"C",Absensi!$D$2:$ND$2,H$6)</f>
        <v>0</v>
      </c>
      <c r="I94">
        <f>COUNTIFS(Absensi!$D92:$ND92,"C",Absensi!$D$2:$ND$2,I$6)</f>
        <v>0</v>
      </c>
      <c r="J94">
        <f>COUNTIFS(Absensi!$D92:$ND92,"C",Absensi!$D$2:$ND$2,J$6)</f>
        <v>0</v>
      </c>
      <c r="K94">
        <f>COUNTIFS(Absensi!$D92:$ND92,"C",Absensi!$D$2:$ND$2,K$6)</f>
        <v>0</v>
      </c>
      <c r="L94">
        <f>COUNTIFS(Absensi!$D92:$ND92,"C",Absensi!$D$2:$ND$2,L$6)</f>
        <v>0</v>
      </c>
      <c r="M94">
        <f>COUNTIFS(Absensi!$D92:$ND92,"C",Absensi!$D$2:$ND$2,M$6)</f>
        <v>0</v>
      </c>
      <c r="N94">
        <f>COUNTIFS(Absensi!$D92:$ND92,"C",Absensi!$D$2:$ND$2,N$6)</f>
        <v>0</v>
      </c>
      <c r="O94">
        <f>COUNTIFS(Absensi!$D92:$ND92,"C",Absensi!$D$2:$ND$2,O$6)</f>
        <v>0</v>
      </c>
      <c r="P94">
        <f>COUNTIFS(Absensi!$D92:$ND92,"C",Absensi!$D$2:$ND$2,P$6)</f>
        <v>0</v>
      </c>
      <c r="Q94">
        <f>COUNTIFS(Absensi!$D92:$ND92,"CS",Absensi!$D$2:$ND$2,Q$6)</f>
        <v>0</v>
      </c>
      <c r="R94">
        <f>COUNTIFS(Absensi!$D92:$ND92,"CS",Absensi!$D$2:$ND$2,R$6)</f>
        <v>0</v>
      </c>
      <c r="S94">
        <f>COUNTIFS(Absensi!$D92:$ND92,"CS",Absensi!$D$2:$ND$2,S$6)</f>
        <v>0</v>
      </c>
      <c r="T94">
        <f>COUNTIFS(Absensi!$D92:$ND92,"CS",Absensi!$D$2:$ND$2,T$6)</f>
        <v>0</v>
      </c>
      <c r="U94">
        <f>COUNTIFS(Absensi!$D92:$ND92,"CS",Absensi!$D$2:$ND$2,U$6)</f>
        <v>0</v>
      </c>
      <c r="V94">
        <f>COUNTIFS(Absensi!$D92:$ND92,"CS",Absensi!$D$2:$ND$2,V$6)</f>
        <v>0</v>
      </c>
      <c r="W94">
        <f>COUNTIFS(Absensi!$D92:$ND92,"CS",Absensi!$D$2:$ND$2,W$6)</f>
        <v>0</v>
      </c>
      <c r="X94">
        <f>COUNTIFS(Absensi!$D92:$ND92,"CS",Absensi!$D$2:$ND$2,X$6)</f>
        <v>0</v>
      </c>
      <c r="Y94">
        <f>COUNTIFS(Absensi!$D92:$ND92,"CS",Absensi!$D$2:$ND$2,Y$6)</f>
        <v>0</v>
      </c>
      <c r="Z94">
        <f>COUNTIFS(Absensi!$D92:$ND92,"CS",Absensi!$D$2:$ND$2,Z$6)</f>
        <v>0</v>
      </c>
      <c r="AA94">
        <f>COUNTIFS(Absensi!$D92:$ND92,"CS",Absensi!$D$2:$ND$2,AA$6)</f>
        <v>0</v>
      </c>
      <c r="AB94">
        <f>COUNTIFS(Absensi!$D92:$ND92,"CS",Absensi!$D$2:$ND$2,AB$6)</f>
        <v>0</v>
      </c>
      <c r="AC94">
        <f t="shared" si="14"/>
        <v>12</v>
      </c>
      <c r="AD94">
        <f t="shared" si="15"/>
        <v>12</v>
      </c>
      <c r="AE94">
        <f t="shared" si="16"/>
        <v>12</v>
      </c>
      <c r="AF94">
        <f t="shared" si="17"/>
        <v>12</v>
      </c>
      <c r="AG94">
        <f t="shared" si="18"/>
        <v>12</v>
      </c>
      <c r="AH94">
        <f t="shared" si="19"/>
        <v>12</v>
      </c>
      <c r="AI94">
        <f t="shared" si="20"/>
        <v>12</v>
      </c>
      <c r="AJ94">
        <f t="shared" si="21"/>
        <v>12</v>
      </c>
      <c r="AK94">
        <f t="shared" si="22"/>
        <v>12</v>
      </c>
      <c r="AL94">
        <f t="shared" si="23"/>
        <v>12</v>
      </c>
      <c r="AM94">
        <f t="shared" si="24"/>
        <v>12</v>
      </c>
      <c r="AN94">
        <f t="shared" si="25"/>
        <v>12</v>
      </c>
    </row>
    <row r="95" spans="1:40" x14ac:dyDescent="0.25">
      <c r="A95" s="26">
        <v>89</v>
      </c>
      <c r="B95" s="27" t="str">
        <f>Absensi!B93</f>
        <v>Reef Plus</v>
      </c>
      <c r="C95" s="27" t="str">
        <f>Rekap!C95</f>
        <v>Andry</v>
      </c>
      <c r="D95" s="46" t="str">
        <f t="shared" si="26"/>
        <v>Reef PlusAndry</v>
      </c>
      <c r="E95">
        <f>COUNTIFS(Absensi!$D93:$ND93,"C",Absensi!$D$2:$ND$2,E$6)</f>
        <v>0</v>
      </c>
      <c r="F95">
        <f>COUNTIFS(Absensi!$D93:$ND93,"C",Absensi!$D$2:$ND$2,F$6)</f>
        <v>0</v>
      </c>
      <c r="G95">
        <f>COUNTIFS(Absensi!$D93:$ND93,"C",Absensi!$D$2:$ND$2,G$6)</f>
        <v>0</v>
      </c>
      <c r="H95">
        <f>COUNTIFS(Absensi!$D93:$ND93,"C",Absensi!$D$2:$ND$2,H$6)</f>
        <v>0</v>
      </c>
      <c r="I95">
        <f>COUNTIFS(Absensi!$D93:$ND93,"C",Absensi!$D$2:$ND$2,I$6)</f>
        <v>0</v>
      </c>
      <c r="J95">
        <f>COUNTIFS(Absensi!$D93:$ND93,"C",Absensi!$D$2:$ND$2,J$6)</f>
        <v>0</v>
      </c>
      <c r="K95">
        <f>COUNTIFS(Absensi!$D93:$ND93,"C",Absensi!$D$2:$ND$2,K$6)</f>
        <v>0</v>
      </c>
      <c r="L95">
        <f>COUNTIFS(Absensi!$D93:$ND93,"C",Absensi!$D$2:$ND$2,L$6)</f>
        <v>0</v>
      </c>
      <c r="M95">
        <f>COUNTIFS(Absensi!$D93:$ND93,"C",Absensi!$D$2:$ND$2,M$6)</f>
        <v>0</v>
      </c>
      <c r="N95">
        <f>COUNTIFS(Absensi!$D93:$ND93,"C",Absensi!$D$2:$ND$2,N$6)</f>
        <v>0</v>
      </c>
      <c r="O95">
        <f>COUNTIFS(Absensi!$D93:$ND93,"C",Absensi!$D$2:$ND$2,O$6)</f>
        <v>0</v>
      </c>
      <c r="P95">
        <f>COUNTIFS(Absensi!$D93:$ND93,"C",Absensi!$D$2:$ND$2,P$6)</f>
        <v>0</v>
      </c>
      <c r="Q95">
        <f>COUNTIFS(Absensi!$D93:$ND93,"CS",Absensi!$D$2:$ND$2,Q$6)</f>
        <v>0</v>
      </c>
      <c r="R95">
        <f>COUNTIFS(Absensi!$D93:$ND93,"CS",Absensi!$D$2:$ND$2,R$6)</f>
        <v>0</v>
      </c>
      <c r="S95">
        <f>COUNTIFS(Absensi!$D93:$ND93,"CS",Absensi!$D$2:$ND$2,S$6)</f>
        <v>0</v>
      </c>
      <c r="T95">
        <f>COUNTIFS(Absensi!$D93:$ND93,"CS",Absensi!$D$2:$ND$2,T$6)</f>
        <v>0</v>
      </c>
      <c r="U95">
        <f>COUNTIFS(Absensi!$D93:$ND93,"CS",Absensi!$D$2:$ND$2,U$6)</f>
        <v>0</v>
      </c>
      <c r="V95">
        <f>COUNTIFS(Absensi!$D93:$ND93,"CS",Absensi!$D$2:$ND$2,V$6)</f>
        <v>0</v>
      </c>
      <c r="W95">
        <f>COUNTIFS(Absensi!$D93:$ND93,"CS",Absensi!$D$2:$ND$2,W$6)</f>
        <v>0</v>
      </c>
      <c r="X95">
        <f>COUNTIFS(Absensi!$D93:$ND93,"CS",Absensi!$D$2:$ND$2,X$6)</f>
        <v>0</v>
      </c>
      <c r="Y95">
        <f>COUNTIFS(Absensi!$D93:$ND93,"CS",Absensi!$D$2:$ND$2,Y$6)</f>
        <v>0</v>
      </c>
      <c r="Z95">
        <f>COUNTIFS(Absensi!$D93:$ND93,"CS",Absensi!$D$2:$ND$2,Z$6)</f>
        <v>0</v>
      </c>
      <c r="AA95">
        <f>COUNTIFS(Absensi!$D93:$ND93,"CS",Absensi!$D$2:$ND$2,AA$6)</f>
        <v>0</v>
      </c>
      <c r="AB95">
        <f>COUNTIFS(Absensi!$D93:$ND93,"CS",Absensi!$D$2:$ND$2,AB$6)</f>
        <v>0</v>
      </c>
      <c r="AC95">
        <f t="shared" si="14"/>
        <v>12</v>
      </c>
      <c r="AD95">
        <f t="shared" si="15"/>
        <v>12</v>
      </c>
      <c r="AE95">
        <f t="shared" si="16"/>
        <v>12</v>
      </c>
      <c r="AF95">
        <f t="shared" si="17"/>
        <v>12</v>
      </c>
      <c r="AG95">
        <f t="shared" si="18"/>
        <v>12</v>
      </c>
      <c r="AH95">
        <f t="shared" si="19"/>
        <v>12</v>
      </c>
      <c r="AI95">
        <f t="shared" si="20"/>
        <v>12</v>
      </c>
      <c r="AJ95">
        <f t="shared" si="21"/>
        <v>12</v>
      </c>
      <c r="AK95">
        <f t="shared" si="22"/>
        <v>12</v>
      </c>
      <c r="AL95">
        <f t="shared" si="23"/>
        <v>12</v>
      </c>
      <c r="AM95">
        <f t="shared" si="24"/>
        <v>12</v>
      </c>
      <c r="AN95">
        <f t="shared" si="25"/>
        <v>12</v>
      </c>
    </row>
    <row r="96" spans="1:40" x14ac:dyDescent="0.25">
      <c r="A96" s="26">
        <v>90</v>
      </c>
      <c r="B96" s="27" t="str">
        <f>Absensi!B94</f>
        <v>Reef Plus</v>
      </c>
      <c r="C96" s="27" t="str">
        <f>Rekap!C96</f>
        <v>Yono</v>
      </c>
      <c r="D96" s="46" t="str">
        <f t="shared" si="26"/>
        <v>Reef PlusYono</v>
      </c>
      <c r="E96">
        <f>COUNTIFS(Absensi!$D94:$ND94,"C",Absensi!$D$2:$ND$2,E$6)</f>
        <v>0</v>
      </c>
      <c r="F96">
        <f>COUNTIFS(Absensi!$D94:$ND94,"C",Absensi!$D$2:$ND$2,F$6)</f>
        <v>3</v>
      </c>
      <c r="G96">
        <f>COUNTIFS(Absensi!$D94:$ND94,"C",Absensi!$D$2:$ND$2,G$6)</f>
        <v>2</v>
      </c>
      <c r="H96">
        <f>COUNTIFS(Absensi!$D94:$ND94,"C",Absensi!$D$2:$ND$2,H$6)</f>
        <v>0</v>
      </c>
      <c r="I96">
        <f>COUNTIFS(Absensi!$D94:$ND94,"C",Absensi!$D$2:$ND$2,I$6)</f>
        <v>2</v>
      </c>
      <c r="J96">
        <f>COUNTIFS(Absensi!$D94:$ND94,"C",Absensi!$D$2:$ND$2,J$6)</f>
        <v>0</v>
      </c>
      <c r="K96">
        <f>COUNTIFS(Absensi!$D94:$ND94,"C",Absensi!$D$2:$ND$2,K$6)</f>
        <v>3</v>
      </c>
      <c r="L96">
        <f>COUNTIFS(Absensi!$D94:$ND94,"C",Absensi!$D$2:$ND$2,L$6)</f>
        <v>0</v>
      </c>
      <c r="M96">
        <f>COUNTIFS(Absensi!$D94:$ND94,"C",Absensi!$D$2:$ND$2,M$6)</f>
        <v>0</v>
      </c>
      <c r="N96">
        <f>COUNTIFS(Absensi!$D94:$ND94,"C",Absensi!$D$2:$ND$2,N$6)</f>
        <v>0</v>
      </c>
      <c r="O96">
        <f>COUNTIFS(Absensi!$D94:$ND94,"C",Absensi!$D$2:$ND$2,O$6)</f>
        <v>0</v>
      </c>
      <c r="P96">
        <f>COUNTIFS(Absensi!$D94:$ND94,"C",Absensi!$D$2:$ND$2,P$6)</f>
        <v>0</v>
      </c>
      <c r="Q96">
        <f>COUNTIFS(Absensi!$D94:$ND94,"CS",Absensi!$D$2:$ND$2,Q$6)</f>
        <v>0</v>
      </c>
      <c r="R96">
        <f>COUNTIFS(Absensi!$D94:$ND94,"CS",Absensi!$D$2:$ND$2,R$6)</f>
        <v>0</v>
      </c>
      <c r="S96">
        <f>COUNTIFS(Absensi!$D94:$ND94,"CS",Absensi!$D$2:$ND$2,S$6)</f>
        <v>0</v>
      </c>
      <c r="T96">
        <f>COUNTIFS(Absensi!$D94:$ND94,"CS",Absensi!$D$2:$ND$2,T$6)</f>
        <v>0</v>
      </c>
      <c r="U96">
        <f>COUNTIFS(Absensi!$D94:$ND94,"CS",Absensi!$D$2:$ND$2,U$6)</f>
        <v>0</v>
      </c>
      <c r="V96">
        <f>COUNTIFS(Absensi!$D94:$ND94,"CS",Absensi!$D$2:$ND$2,V$6)</f>
        <v>0</v>
      </c>
      <c r="W96">
        <f>COUNTIFS(Absensi!$D94:$ND94,"CS",Absensi!$D$2:$ND$2,W$6)</f>
        <v>0</v>
      </c>
      <c r="X96">
        <f>COUNTIFS(Absensi!$D94:$ND94,"CS",Absensi!$D$2:$ND$2,X$6)</f>
        <v>0</v>
      </c>
      <c r="Y96">
        <f>COUNTIFS(Absensi!$D94:$ND94,"CS",Absensi!$D$2:$ND$2,Y$6)</f>
        <v>0</v>
      </c>
      <c r="Z96">
        <f>COUNTIFS(Absensi!$D94:$ND94,"CS",Absensi!$D$2:$ND$2,Z$6)</f>
        <v>0</v>
      </c>
      <c r="AA96">
        <f>COUNTIFS(Absensi!$D94:$ND94,"CS",Absensi!$D$2:$ND$2,AA$6)</f>
        <v>0</v>
      </c>
      <c r="AB96">
        <f>COUNTIFS(Absensi!$D94:$ND94,"CS",Absensi!$D$2:$ND$2,AB$6)</f>
        <v>0</v>
      </c>
      <c r="AC96">
        <f t="shared" si="14"/>
        <v>12</v>
      </c>
      <c r="AD96">
        <f t="shared" si="15"/>
        <v>9</v>
      </c>
      <c r="AE96">
        <f t="shared" si="16"/>
        <v>7</v>
      </c>
      <c r="AF96">
        <f t="shared" si="17"/>
        <v>7</v>
      </c>
      <c r="AG96">
        <f t="shared" si="18"/>
        <v>5</v>
      </c>
      <c r="AH96">
        <f t="shared" si="19"/>
        <v>5</v>
      </c>
      <c r="AI96">
        <f t="shared" si="20"/>
        <v>2</v>
      </c>
      <c r="AJ96">
        <f t="shared" si="21"/>
        <v>2</v>
      </c>
      <c r="AK96">
        <f t="shared" si="22"/>
        <v>2</v>
      </c>
      <c r="AL96">
        <f t="shared" si="23"/>
        <v>2</v>
      </c>
      <c r="AM96">
        <f t="shared" si="24"/>
        <v>2</v>
      </c>
      <c r="AN96">
        <f t="shared" si="25"/>
        <v>2</v>
      </c>
    </row>
    <row r="97" spans="1:40" x14ac:dyDescent="0.25">
      <c r="A97" s="26">
        <v>91</v>
      </c>
      <c r="B97" s="27" t="str">
        <f>Absensi!B95</f>
        <v>Reef Plus</v>
      </c>
      <c r="C97" s="27" t="str">
        <f>Rekap!C97</f>
        <v>Faturrachman</v>
      </c>
      <c r="D97" s="46" t="str">
        <f t="shared" si="26"/>
        <v>Reef PlusFaturrachman</v>
      </c>
      <c r="E97">
        <f>COUNTIFS(Absensi!$D95:$ND95,"C",Absensi!$D$2:$ND$2,E$6)</f>
        <v>0</v>
      </c>
      <c r="F97">
        <f>COUNTIFS(Absensi!$D95:$ND95,"C",Absensi!$D$2:$ND$2,F$6)</f>
        <v>0</v>
      </c>
      <c r="G97">
        <f>COUNTIFS(Absensi!$D95:$ND95,"C",Absensi!$D$2:$ND$2,G$6)</f>
        <v>1</v>
      </c>
      <c r="H97">
        <f>COUNTIFS(Absensi!$D95:$ND95,"C",Absensi!$D$2:$ND$2,H$6)</f>
        <v>6</v>
      </c>
      <c r="I97">
        <f>COUNTIFS(Absensi!$D95:$ND95,"C",Absensi!$D$2:$ND$2,I$6)</f>
        <v>0</v>
      </c>
      <c r="J97">
        <f>COUNTIFS(Absensi!$D95:$ND95,"C",Absensi!$D$2:$ND$2,J$6)</f>
        <v>0</v>
      </c>
      <c r="K97">
        <f>COUNTIFS(Absensi!$D95:$ND95,"C",Absensi!$D$2:$ND$2,K$6)</f>
        <v>0</v>
      </c>
      <c r="L97">
        <f>COUNTIFS(Absensi!$D95:$ND95,"C",Absensi!$D$2:$ND$2,L$6)</f>
        <v>0</v>
      </c>
      <c r="M97">
        <f>COUNTIFS(Absensi!$D95:$ND95,"C",Absensi!$D$2:$ND$2,M$6)</f>
        <v>1</v>
      </c>
      <c r="N97">
        <f>COUNTIFS(Absensi!$D95:$ND95,"C",Absensi!$D$2:$ND$2,N$6)</f>
        <v>0</v>
      </c>
      <c r="O97">
        <f>COUNTIFS(Absensi!$D95:$ND95,"C",Absensi!$D$2:$ND$2,O$6)</f>
        <v>0</v>
      </c>
      <c r="P97">
        <f>COUNTIFS(Absensi!$D95:$ND95,"C",Absensi!$D$2:$ND$2,P$6)</f>
        <v>0</v>
      </c>
      <c r="Q97">
        <f>COUNTIFS(Absensi!$D95:$ND95,"CS",Absensi!$D$2:$ND$2,Q$6)</f>
        <v>0</v>
      </c>
      <c r="R97">
        <f>COUNTIFS(Absensi!$D95:$ND95,"CS",Absensi!$D$2:$ND$2,R$6)</f>
        <v>0</v>
      </c>
      <c r="S97">
        <f>COUNTIFS(Absensi!$D95:$ND95,"CS",Absensi!$D$2:$ND$2,S$6)</f>
        <v>0</v>
      </c>
      <c r="T97">
        <f>COUNTIFS(Absensi!$D95:$ND95,"CS",Absensi!$D$2:$ND$2,T$6)</f>
        <v>0</v>
      </c>
      <c r="U97">
        <f>COUNTIFS(Absensi!$D95:$ND95,"CS",Absensi!$D$2:$ND$2,U$6)</f>
        <v>0</v>
      </c>
      <c r="V97">
        <f>COUNTIFS(Absensi!$D95:$ND95,"CS",Absensi!$D$2:$ND$2,V$6)</f>
        <v>0</v>
      </c>
      <c r="W97">
        <f>COUNTIFS(Absensi!$D95:$ND95,"CS",Absensi!$D$2:$ND$2,W$6)</f>
        <v>0</v>
      </c>
      <c r="X97">
        <f>COUNTIFS(Absensi!$D95:$ND95,"CS",Absensi!$D$2:$ND$2,X$6)</f>
        <v>0</v>
      </c>
      <c r="Y97">
        <f>COUNTIFS(Absensi!$D95:$ND95,"CS",Absensi!$D$2:$ND$2,Y$6)</f>
        <v>0</v>
      </c>
      <c r="Z97">
        <f>COUNTIFS(Absensi!$D95:$ND95,"CS",Absensi!$D$2:$ND$2,Z$6)</f>
        <v>0</v>
      </c>
      <c r="AA97">
        <f>COUNTIFS(Absensi!$D95:$ND95,"CS",Absensi!$D$2:$ND$2,AA$6)</f>
        <v>0</v>
      </c>
      <c r="AB97">
        <f>COUNTIFS(Absensi!$D95:$ND95,"CS",Absensi!$D$2:$ND$2,AB$6)</f>
        <v>0</v>
      </c>
      <c r="AC97">
        <f t="shared" si="14"/>
        <v>12</v>
      </c>
      <c r="AD97">
        <f t="shared" si="15"/>
        <v>12</v>
      </c>
      <c r="AE97">
        <f t="shared" si="16"/>
        <v>11</v>
      </c>
      <c r="AF97">
        <f t="shared" si="17"/>
        <v>5</v>
      </c>
      <c r="AG97">
        <f t="shared" si="18"/>
        <v>5</v>
      </c>
      <c r="AH97">
        <f t="shared" si="19"/>
        <v>5</v>
      </c>
      <c r="AI97">
        <f t="shared" si="20"/>
        <v>5</v>
      </c>
      <c r="AJ97">
        <f t="shared" si="21"/>
        <v>5</v>
      </c>
      <c r="AK97">
        <f t="shared" si="22"/>
        <v>4</v>
      </c>
      <c r="AL97">
        <f t="shared" si="23"/>
        <v>4</v>
      </c>
      <c r="AM97">
        <f t="shared" si="24"/>
        <v>4</v>
      </c>
      <c r="AN97">
        <f t="shared" si="25"/>
        <v>4</v>
      </c>
    </row>
    <row r="98" spans="1:40" x14ac:dyDescent="0.25">
      <c r="A98" s="26">
        <v>92</v>
      </c>
      <c r="B98" s="27" t="str">
        <f>Absensi!B96</f>
        <v>Reef Plus</v>
      </c>
      <c r="C98" s="27" t="str">
        <f>Rekap!C98</f>
        <v>Tomi</v>
      </c>
      <c r="D98" s="46" t="str">
        <f t="shared" si="26"/>
        <v>Reef PlusTomi</v>
      </c>
      <c r="E98">
        <f>COUNTIFS(Absensi!$D96:$ND96,"C",Absensi!$D$2:$ND$2,E$6)</f>
        <v>0</v>
      </c>
      <c r="F98">
        <f>COUNTIFS(Absensi!$D96:$ND96,"C",Absensi!$D$2:$ND$2,F$6)</f>
        <v>0</v>
      </c>
      <c r="G98">
        <f>COUNTIFS(Absensi!$D96:$ND96,"C",Absensi!$D$2:$ND$2,G$6)</f>
        <v>0</v>
      </c>
      <c r="H98">
        <f>COUNTIFS(Absensi!$D96:$ND96,"C",Absensi!$D$2:$ND$2,H$6)</f>
        <v>0</v>
      </c>
      <c r="I98">
        <f>COUNTIFS(Absensi!$D96:$ND96,"C",Absensi!$D$2:$ND$2,I$6)</f>
        <v>0</v>
      </c>
      <c r="J98">
        <f>COUNTIFS(Absensi!$D96:$ND96,"C",Absensi!$D$2:$ND$2,J$6)</f>
        <v>0</v>
      </c>
      <c r="K98">
        <f>COUNTIFS(Absensi!$D96:$ND96,"C",Absensi!$D$2:$ND$2,K$6)</f>
        <v>4</v>
      </c>
      <c r="L98">
        <f>COUNTIFS(Absensi!$D96:$ND96,"C",Absensi!$D$2:$ND$2,L$6)</f>
        <v>0</v>
      </c>
      <c r="M98">
        <f>COUNTIFS(Absensi!$D96:$ND96,"C",Absensi!$D$2:$ND$2,M$6)</f>
        <v>0</v>
      </c>
      <c r="N98">
        <f>COUNTIFS(Absensi!$D96:$ND96,"C",Absensi!$D$2:$ND$2,N$6)</f>
        <v>0</v>
      </c>
      <c r="O98">
        <f>COUNTIFS(Absensi!$D96:$ND96,"C",Absensi!$D$2:$ND$2,O$6)</f>
        <v>0</v>
      </c>
      <c r="P98">
        <f>COUNTIFS(Absensi!$D96:$ND96,"C",Absensi!$D$2:$ND$2,P$6)</f>
        <v>0</v>
      </c>
      <c r="Q98">
        <f>COUNTIFS(Absensi!$D96:$ND96,"CS",Absensi!$D$2:$ND$2,Q$6)</f>
        <v>0</v>
      </c>
      <c r="R98">
        <f>COUNTIFS(Absensi!$D96:$ND96,"CS",Absensi!$D$2:$ND$2,R$6)</f>
        <v>0</v>
      </c>
      <c r="S98">
        <f>COUNTIFS(Absensi!$D96:$ND96,"CS",Absensi!$D$2:$ND$2,S$6)</f>
        <v>0</v>
      </c>
      <c r="T98">
        <f>COUNTIFS(Absensi!$D96:$ND96,"CS",Absensi!$D$2:$ND$2,T$6)</f>
        <v>0</v>
      </c>
      <c r="U98">
        <f>COUNTIFS(Absensi!$D96:$ND96,"CS",Absensi!$D$2:$ND$2,U$6)</f>
        <v>0</v>
      </c>
      <c r="V98">
        <f>COUNTIFS(Absensi!$D96:$ND96,"CS",Absensi!$D$2:$ND$2,V$6)</f>
        <v>0</v>
      </c>
      <c r="W98">
        <f>COUNTIFS(Absensi!$D96:$ND96,"CS",Absensi!$D$2:$ND$2,W$6)</f>
        <v>0</v>
      </c>
      <c r="X98">
        <f>COUNTIFS(Absensi!$D96:$ND96,"CS",Absensi!$D$2:$ND$2,X$6)</f>
        <v>0</v>
      </c>
      <c r="Y98">
        <f>COUNTIFS(Absensi!$D96:$ND96,"CS",Absensi!$D$2:$ND$2,Y$6)</f>
        <v>0</v>
      </c>
      <c r="Z98">
        <f>COUNTIFS(Absensi!$D96:$ND96,"CS",Absensi!$D$2:$ND$2,Z$6)</f>
        <v>0</v>
      </c>
      <c r="AA98">
        <f>COUNTIFS(Absensi!$D96:$ND96,"CS",Absensi!$D$2:$ND$2,AA$6)</f>
        <v>0</v>
      </c>
      <c r="AB98">
        <f>COUNTIFS(Absensi!$D96:$ND96,"CS",Absensi!$D$2:$ND$2,AB$6)</f>
        <v>0</v>
      </c>
      <c r="AC98">
        <f t="shared" si="14"/>
        <v>12</v>
      </c>
      <c r="AD98">
        <f t="shared" si="15"/>
        <v>12</v>
      </c>
      <c r="AE98">
        <f t="shared" si="16"/>
        <v>12</v>
      </c>
      <c r="AF98">
        <f t="shared" si="17"/>
        <v>12</v>
      </c>
      <c r="AG98">
        <f t="shared" si="18"/>
        <v>12</v>
      </c>
      <c r="AH98">
        <f t="shared" si="19"/>
        <v>12</v>
      </c>
      <c r="AI98">
        <f t="shared" si="20"/>
        <v>8</v>
      </c>
      <c r="AJ98">
        <f t="shared" si="21"/>
        <v>8</v>
      </c>
      <c r="AK98">
        <f t="shared" si="22"/>
        <v>8</v>
      </c>
      <c r="AL98">
        <f t="shared" si="23"/>
        <v>8</v>
      </c>
      <c r="AM98">
        <f t="shared" si="24"/>
        <v>8</v>
      </c>
      <c r="AN98">
        <f t="shared" si="25"/>
        <v>8</v>
      </c>
    </row>
    <row r="99" spans="1:40" x14ac:dyDescent="0.25">
      <c r="A99" s="26">
        <v>93</v>
      </c>
      <c r="B99" s="27" t="str">
        <f>Absensi!B97</f>
        <v>Reef Plus</v>
      </c>
      <c r="C99" s="27" t="str">
        <f>Rekap!C99</f>
        <v>Hadid</v>
      </c>
      <c r="D99" s="46" t="str">
        <f t="shared" si="26"/>
        <v>Reef PlusHadid</v>
      </c>
      <c r="E99">
        <f>COUNTIFS(Absensi!$D97:$ND97,"C",Absensi!$D$2:$ND$2,E$6)</f>
        <v>0</v>
      </c>
      <c r="F99">
        <f>COUNTIFS(Absensi!$D97:$ND97,"C",Absensi!$D$2:$ND$2,F$6)</f>
        <v>0</v>
      </c>
      <c r="G99">
        <f>COUNTIFS(Absensi!$D97:$ND97,"C",Absensi!$D$2:$ND$2,G$6)</f>
        <v>0</v>
      </c>
      <c r="H99">
        <f>COUNTIFS(Absensi!$D97:$ND97,"C",Absensi!$D$2:$ND$2,H$6)</f>
        <v>0</v>
      </c>
      <c r="I99">
        <f>COUNTIFS(Absensi!$D97:$ND97,"C",Absensi!$D$2:$ND$2,I$6)</f>
        <v>0</v>
      </c>
      <c r="J99">
        <f>COUNTIFS(Absensi!$D97:$ND97,"C",Absensi!$D$2:$ND$2,J$6)</f>
        <v>0</v>
      </c>
      <c r="K99">
        <f>COUNTIFS(Absensi!$D97:$ND97,"C",Absensi!$D$2:$ND$2,K$6)</f>
        <v>0</v>
      </c>
      <c r="L99">
        <f>COUNTIFS(Absensi!$D97:$ND97,"C",Absensi!$D$2:$ND$2,L$6)</f>
        <v>4</v>
      </c>
      <c r="M99">
        <f>COUNTIFS(Absensi!$D97:$ND97,"C",Absensi!$D$2:$ND$2,M$6)</f>
        <v>1</v>
      </c>
      <c r="N99">
        <f>COUNTIFS(Absensi!$D97:$ND97,"C",Absensi!$D$2:$ND$2,N$6)</f>
        <v>0</v>
      </c>
      <c r="O99">
        <f>COUNTIFS(Absensi!$D97:$ND97,"C",Absensi!$D$2:$ND$2,O$6)</f>
        <v>0</v>
      </c>
      <c r="P99">
        <f>COUNTIFS(Absensi!$D97:$ND97,"C",Absensi!$D$2:$ND$2,P$6)</f>
        <v>0</v>
      </c>
      <c r="Q99">
        <f>COUNTIFS(Absensi!$D97:$ND97,"CS",Absensi!$D$2:$ND$2,Q$6)</f>
        <v>0</v>
      </c>
      <c r="R99">
        <f>COUNTIFS(Absensi!$D97:$ND97,"CS",Absensi!$D$2:$ND$2,R$6)</f>
        <v>0</v>
      </c>
      <c r="S99">
        <f>COUNTIFS(Absensi!$D97:$ND97,"CS",Absensi!$D$2:$ND$2,S$6)</f>
        <v>0</v>
      </c>
      <c r="T99">
        <f>COUNTIFS(Absensi!$D97:$ND97,"CS",Absensi!$D$2:$ND$2,T$6)</f>
        <v>0</v>
      </c>
      <c r="U99">
        <f>COUNTIFS(Absensi!$D97:$ND97,"CS",Absensi!$D$2:$ND$2,U$6)</f>
        <v>0</v>
      </c>
      <c r="V99">
        <f>COUNTIFS(Absensi!$D97:$ND97,"CS",Absensi!$D$2:$ND$2,V$6)</f>
        <v>0</v>
      </c>
      <c r="W99">
        <f>COUNTIFS(Absensi!$D97:$ND97,"CS",Absensi!$D$2:$ND$2,W$6)</f>
        <v>0</v>
      </c>
      <c r="X99">
        <f>COUNTIFS(Absensi!$D97:$ND97,"CS",Absensi!$D$2:$ND$2,X$6)</f>
        <v>0</v>
      </c>
      <c r="Y99">
        <f>COUNTIFS(Absensi!$D97:$ND97,"CS",Absensi!$D$2:$ND$2,Y$6)</f>
        <v>0</v>
      </c>
      <c r="Z99">
        <f>COUNTIFS(Absensi!$D97:$ND97,"CS",Absensi!$D$2:$ND$2,Z$6)</f>
        <v>0</v>
      </c>
      <c r="AA99">
        <f>COUNTIFS(Absensi!$D97:$ND97,"CS",Absensi!$D$2:$ND$2,AA$6)</f>
        <v>0</v>
      </c>
      <c r="AB99">
        <f>COUNTIFS(Absensi!$D97:$ND97,"CS",Absensi!$D$2:$ND$2,AB$6)</f>
        <v>0</v>
      </c>
      <c r="AC99">
        <f t="shared" si="14"/>
        <v>12</v>
      </c>
      <c r="AD99">
        <f t="shared" si="15"/>
        <v>12</v>
      </c>
      <c r="AE99">
        <f t="shared" si="16"/>
        <v>12</v>
      </c>
      <c r="AF99">
        <f t="shared" si="17"/>
        <v>12</v>
      </c>
      <c r="AG99">
        <f t="shared" si="18"/>
        <v>12</v>
      </c>
      <c r="AH99">
        <f t="shared" si="19"/>
        <v>12</v>
      </c>
      <c r="AI99">
        <f t="shared" si="20"/>
        <v>12</v>
      </c>
      <c r="AJ99">
        <f t="shared" si="21"/>
        <v>8</v>
      </c>
      <c r="AK99">
        <f t="shared" si="22"/>
        <v>7</v>
      </c>
      <c r="AL99">
        <f t="shared" si="23"/>
        <v>7</v>
      </c>
      <c r="AM99">
        <f t="shared" si="24"/>
        <v>7</v>
      </c>
      <c r="AN99">
        <f t="shared" si="25"/>
        <v>7</v>
      </c>
    </row>
    <row r="100" spans="1:40" x14ac:dyDescent="0.25">
      <c r="A100" s="26">
        <v>94</v>
      </c>
      <c r="B100" s="27" t="str">
        <f>Absensi!B98</f>
        <v>Reef Plus</v>
      </c>
      <c r="C100" s="27" t="str">
        <f>Rekap!C100</f>
        <v>Fuad</v>
      </c>
      <c r="D100" s="46" t="str">
        <f t="shared" si="26"/>
        <v>Reef PlusFuad</v>
      </c>
      <c r="E100">
        <f>COUNTIFS(Absensi!$D98:$ND98,"C",Absensi!$D$2:$ND$2,E$6)</f>
        <v>0</v>
      </c>
      <c r="F100">
        <f>COUNTIFS(Absensi!$D98:$ND98,"C",Absensi!$D$2:$ND$2,F$6)</f>
        <v>0</v>
      </c>
      <c r="G100">
        <f>COUNTIFS(Absensi!$D98:$ND98,"C",Absensi!$D$2:$ND$2,G$6)</f>
        <v>0</v>
      </c>
      <c r="H100">
        <f>COUNTIFS(Absensi!$D98:$ND98,"C",Absensi!$D$2:$ND$2,H$6)</f>
        <v>0</v>
      </c>
      <c r="I100">
        <f>COUNTIFS(Absensi!$D98:$ND98,"C",Absensi!$D$2:$ND$2,I$6)</f>
        <v>0</v>
      </c>
      <c r="J100">
        <f>COUNTIFS(Absensi!$D98:$ND98,"C",Absensi!$D$2:$ND$2,J$6)</f>
        <v>0</v>
      </c>
      <c r="K100">
        <f>COUNTIFS(Absensi!$D98:$ND98,"C",Absensi!$D$2:$ND$2,K$6)</f>
        <v>2</v>
      </c>
      <c r="L100">
        <f>COUNTIFS(Absensi!$D98:$ND98,"C",Absensi!$D$2:$ND$2,L$6)</f>
        <v>0</v>
      </c>
      <c r="M100">
        <f>COUNTIFS(Absensi!$D98:$ND98,"C",Absensi!$D$2:$ND$2,M$6)</f>
        <v>1</v>
      </c>
      <c r="N100">
        <f>COUNTIFS(Absensi!$D98:$ND98,"C",Absensi!$D$2:$ND$2,N$6)</f>
        <v>0</v>
      </c>
      <c r="O100">
        <f>COUNTIFS(Absensi!$D98:$ND98,"C",Absensi!$D$2:$ND$2,O$6)</f>
        <v>0</v>
      </c>
      <c r="P100">
        <f>COUNTIFS(Absensi!$D98:$ND98,"C",Absensi!$D$2:$ND$2,P$6)</f>
        <v>0</v>
      </c>
      <c r="Q100">
        <f>COUNTIFS(Absensi!$D98:$ND98,"CS",Absensi!$D$2:$ND$2,Q$6)</f>
        <v>0</v>
      </c>
      <c r="R100">
        <f>COUNTIFS(Absensi!$D98:$ND98,"CS",Absensi!$D$2:$ND$2,R$6)</f>
        <v>0</v>
      </c>
      <c r="S100">
        <f>COUNTIFS(Absensi!$D98:$ND98,"CS",Absensi!$D$2:$ND$2,S$6)</f>
        <v>0</v>
      </c>
      <c r="T100">
        <f>COUNTIFS(Absensi!$D98:$ND98,"CS",Absensi!$D$2:$ND$2,T$6)</f>
        <v>0</v>
      </c>
      <c r="U100">
        <f>COUNTIFS(Absensi!$D98:$ND98,"CS",Absensi!$D$2:$ND$2,U$6)</f>
        <v>0</v>
      </c>
      <c r="V100">
        <f>COUNTIFS(Absensi!$D98:$ND98,"CS",Absensi!$D$2:$ND$2,V$6)</f>
        <v>0</v>
      </c>
      <c r="W100">
        <f>COUNTIFS(Absensi!$D98:$ND98,"CS",Absensi!$D$2:$ND$2,W$6)</f>
        <v>0</v>
      </c>
      <c r="X100">
        <f>COUNTIFS(Absensi!$D98:$ND98,"CS",Absensi!$D$2:$ND$2,X$6)</f>
        <v>0</v>
      </c>
      <c r="Y100">
        <f>COUNTIFS(Absensi!$D98:$ND98,"CS",Absensi!$D$2:$ND$2,Y$6)</f>
        <v>0</v>
      </c>
      <c r="Z100">
        <f>COUNTIFS(Absensi!$D98:$ND98,"CS",Absensi!$D$2:$ND$2,Z$6)</f>
        <v>0</v>
      </c>
      <c r="AA100">
        <f>COUNTIFS(Absensi!$D98:$ND98,"CS",Absensi!$D$2:$ND$2,AA$6)</f>
        <v>0</v>
      </c>
      <c r="AB100">
        <f>COUNTIFS(Absensi!$D98:$ND98,"CS",Absensi!$D$2:$ND$2,AB$6)</f>
        <v>0</v>
      </c>
      <c r="AC100">
        <f t="shared" si="14"/>
        <v>12</v>
      </c>
      <c r="AD100">
        <f t="shared" si="15"/>
        <v>12</v>
      </c>
      <c r="AE100">
        <f t="shared" si="16"/>
        <v>12</v>
      </c>
      <c r="AF100">
        <f t="shared" si="17"/>
        <v>12</v>
      </c>
      <c r="AG100">
        <f t="shared" si="18"/>
        <v>12</v>
      </c>
      <c r="AH100">
        <f t="shared" si="19"/>
        <v>12</v>
      </c>
      <c r="AI100">
        <f t="shared" si="20"/>
        <v>10</v>
      </c>
      <c r="AJ100">
        <f t="shared" si="21"/>
        <v>10</v>
      </c>
      <c r="AK100">
        <f t="shared" si="22"/>
        <v>9</v>
      </c>
      <c r="AL100">
        <f t="shared" si="23"/>
        <v>9</v>
      </c>
      <c r="AM100">
        <f t="shared" si="24"/>
        <v>9</v>
      </c>
      <c r="AN100">
        <f t="shared" si="25"/>
        <v>9</v>
      </c>
    </row>
    <row r="101" spans="1:40" x14ac:dyDescent="0.25">
      <c r="A101" s="26">
        <v>95</v>
      </c>
      <c r="B101" s="27" t="str">
        <f>Absensi!B99</f>
        <v>Reef Plus</v>
      </c>
      <c r="C101" s="27" t="str">
        <f>Rekap!C101</f>
        <v>Faisal</v>
      </c>
      <c r="D101" s="46" t="str">
        <f t="shared" si="26"/>
        <v>Reef PlusFaisal</v>
      </c>
      <c r="E101">
        <f>COUNTIFS(Absensi!$D99:$ND99,"C",Absensi!$D$2:$ND$2,E$6)</f>
        <v>12</v>
      </c>
      <c r="F101">
        <f>COUNTIFS(Absensi!$D99:$ND99,"C",Absensi!$D$2:$ND$2,F$6)</f>
        <v>0</v>
      </c>
      <c r="G101">
        <f>COUNTIFS(Absensi!$D99:$ND99,"C",Absensi!$D$2:$ND$2,G$6)</f>
        <v>0</v>
      </c>
      <c r="H101">
        <f>COUNTIFS(Absensi!$D99:$ND99,"C",Absensi!$D$2:$ND$2,H$6)</f>
        <v>0</v>
      </c>
      <c r="I101">
        <f>COUNTIFS(Absensi!$D99:$ND99,"C",Absensi!$D$2:$ND$2,I$6)</f>
        <v>0</v>
      </c>
      <c r="J101">
        <f>COUNTIFS(Absensi!$D99:$ND99,"C",Absensi!$D$2:$ND$2,J$6)</f>
        <v>0</v>
      </c>
      <c r="K101">
        <f>COUNTIFS(Absensi!$D99:$ND99,"C",Absensi!$D$2:$ND$2,K$6)</f>
        <v>0</v>
      </c>
      <c r="L101">
        <f>COUNTIFS(Absensi!$D99:$ND99,"C",Absensi!$D$2:$ND$2,L$6)</f>
        <v>0</v>
      </c>
      <c r="M101">
        <f>COUNTIFS(Absensi!$D99:$ND99,"C",Absensi!$D$2:$ND$2,M$6)</f>
        <v>0</v>
      </c>
      <c r="N101">
        <f>COUNTIFS(Absensi!$D99:$ND99,"C",Absensi!$D$2:$ND$2,N$6)</f>
        <v>0</v>
      </c>
      <c r="O101">
        <f>COUNTIFS(Absensi!$D99:$ND99,"C",Absensi!$D$2:$ND$2,O$6)</f>
        <v>0</v>
      </c>
      <c r="P101">
        <f>COUNTIFS(Absensi!$D99:$ND99,"C",Absensi!$D$2:$ND$2,P$6)</f>
        <v>0</v>
      </c>
      <c r="Q101">
        <f>COUNTIFS(Absensi!$D99:$ND99,"CS",Absensi!$D$2:$ND$2,Q$6)</f>
        <v>0</v>
      </c>
      <c r="R101">
        <f>COUNTIFS(Absensi!$D99:$ND99,"CS",Absensi!$D$2:$ND$2,R$6)</f>
        <v>0</v>
      </c>
      <c r="S101">
        <f>COUNTIFS(Absensi!$D99:$ND99,"CS",Absensi!$D$2:$ND$2,S$6)</f>
        <v>0</v>
      </c>
      <c r="T101">
        <f>COUNTIFS(Absensi!$D99:$ND99,"CS",Absensi!$D$2:$ND$2,T$6)</f>
        <v>0</v>
      </c>
      <c r="U101">
        <f>COUNTIFS(Absensi!$D99:$ND99,"CS",Absensi!$D$2:$ND$2,U$6)</f>
        <v>0</v>
      </c>
      <c r="V101">
        <f>COUNTIFS(Absensi!$D99:$ND99,"CS",Absensi!$D$2:$ND$2,V$6)</f>
        <v>0</v>
      </c>
      <c r="W101">
        <f>COUNTIFS(Absensi!$D99:$ND99,"CS",Absensi!$D$2:$ND$2,W$6)</f>
        <v>0</v>
      </c>
      <c r="X101">
        <f>COUNTIFS(Absensi!$D99:$ND99,"CS",Absensi!$D$2:$ND$2,X$6)</f>
        <v>0</v>
      </c>
      <c r="Y101">
        <f>COUNTIFS(Absensi!$D99:$ND99,"CS",Absensi!$D$2:$ND$2,Y$6)</f>
        <v>0</v>
      </c>
      <c r="Z101">
        <f>COUNTIFS(Absensi!$D99:$ND99,"CS",Absensi!$D$2:$ND$2,Z$6)</f>
        <v>0</v>
      </c>
      <c r="AA101">
        <f>COUNTIFS(Absensi!$D99:$ND99,"CS",Absensi!$D$2:$ND$2,AA$6)</f>
        <v>0</v>
      </c>
      <c r="AB101">
        <f>COUNTIFS(Absensi!$D99:$ND99,"CS",Absensi!$D$2:$ND$2,AB$6)</f>
        <v>0</v>
      </c>
      <c r="AC101">
        <f t="shared" si="14"/>
        <v>0</v>
      </c>
      <c r="AD101">
        <f t="shared" si="15"/>
        <v>0</v>
      </c>
      <c r="AE101">
        <f t="shared" si="16"/>
        <v>0</v>
      </c>
      <c r="AF101">
        <f t="shared" si="17"/>
        <v>0</v>
      </c>
      <c r="AG101">
        <f t="shared" si="18"/>
        <v>0</v>
      </c>
      <c r="AH101">
        <f t="shared" si="19"/>
        <v>0</v>
      </c>
      <c r="AI101">
        <f t="shared" si="20"/>
        <v>0</v>
      </c>
      <c r="AJ101">
        <f t="shared" si="21"/>
        <v>0</v>
      </c>
      <c r="AK101">
        <f t="shared" si="22"/>
        <v>0</v>
      </c>
      <c r="AL101">
        <f t="shared" si="23"/>
        <v>0</v>
      </c>
      <c r="AM101">
        <f t="shared" si="24"/>
        <v>0</v>
      </c>
      <c r="AN101">
        <f t="shared" si="25"/>
        <v>0</v>
      </c>
    </row>
    <row r="102" spans="1:40" x14ac:dyDescent="0.25">
      <c r="A102" s="26">
        <v>96</v>
      </c>
      <c r="B102" s="27" t="str">
        <f>Absensi!B100</f>
        <v>Reef Plus</v>
      </c>
      <c r="C102" s="27" t="str">
        <f>Rekap!C102</f>
        <v>Ugi</v>
      </c>
      <c r="D102" s="46" t="str">
        <f t="shared" si="26"/>
        <v>Reef PlusUgi</v>
      </c>
      <c r="E102">
        <f>COUNTIFS(Absensi!$D100:$ND100,"C",Absensi!$D$2:$ND$2,E$6)</f>
        <v>0</v>
      </c>
      <c r="F102">
        <f>COUNTIFS(Absensi!$D100:$ND100,"C",Absensi!$D$2:$ND$2,F$6)</f>
        <v>1</v>
      </c>
      <c r="G102">
        <f>COUNTIFS(Absensi!$D100:$ND100,"C",Absensi!$D$2:$ND$2,G$6)</f>
        <v>0</v>
      </c>
      <c r="H102">
        <f>COUNTIFS(Absensi!$D100:$ND100,"C",Absensi!$D$2:$ND$2,H$6)</f>
        <v>1</v>
      </c>
      <c r="I102">
        <f>COUNTIFS(Absensi!$D100:$ND100,"C",Absensi!$D$2:$ND$2,I$6)</f>
        <v>0</v>
      </c>
      <c r="J102">
        <f>COUNTIFS(Absensi!$D100:$ND100,"C",Absensi!$D$2:$ND$2,J$6)</f>
        <v>0</v>
      </c>
      <c r="K102">
        <f>COUNTIFS(Absensi!$D100:$ND100,"C",Absensi!$D$2:$ND$2,K$6)</f>
        <v>0</v>
      </c>
      <c r="L102">
        <f>COUNTIFS(Absensi!$D100:$ND100,"C",Absensi!$D$2:$ND$2,L$6)</f>
        <v>0</v>
      </c>
      <c r="M102">
        <f>COUNTIFS(Absensi!$D100:$ND100,"C",Absensi!$D$2:$ND$2,M$6)</f>
        <v>0</v>
      </c>
      <c r="N102">
        <f>COUNTIFS(Absensi!$D100:$ND100,"C",Absensi!$D$2:$ND$2,N$6)</f>
        <v>0</v>
      </c>
      <c r="O102">
        <f>COUNTIFS(Absensi!$D100:$ND100,"C",Absensi!$D$2:$ND$2,O$6)</f>
        <v>0</v>
      </c>
      <c r="P102">
        <f>COUNTIFS(Absensi!$D100:$ND100,"C",Absensi!$D$2:$ND$2,P$6)</f>
        <v>0</v>
      </c>
      <c r="Q102">
        <f>COUNTIFS(Absensi!$D100:$ND100,"CS",Absensi!$D$2:$ND$2,Q$6)</f>
        <v>0</v>
      </c>
      <c r="R102">
        <f>COUNTIFS(Absensi!$D100:$ND100,"CS",Absensi!$D$2:$ND$2,R$6)</f>
        <v>0</v>
      </c>
      <c r="S102">
        <f>COUNTIFS(Absensi!$D100:$ND100,"CS",Absensi!$D$2:$ND$2,S$6)</f>
        <v>0</v>
      </c>
      <c r="T102">
        <f>COUNTIFS(Absensi!$D100:$ND100,"CS",Absensi!$D$2:$ND$2,T$6)</f>
        <v>0</v>
      </c>
      <c r="U102">
        <f>COUNTIFS(Absensi!$D100:$ND100,"CS",Absensi!$D$2:$ND$2,U$6)</f>
        <v>0</v>
      </c>
      <c r="V102">
        <f>COUNTIFS(Absensi!$D100:$ND100,"CS",Absensi!$D$2:$ND$2,V$6)</f>
        <v>0</v>
      </c>
      <c r="W102">
        <f>COUNTIFS(Absensi!$D100:$ND100,"CS",Absensi!$D$2:$ND$2,W$6)</f>
        <v>0</v>
      </c>
      <c r="X102">
        <f>COUNTIFS(Absensi!$D100:$ND100,"CS",Absensi!$D$2:$ND$2,X$6)</f>
        <v>0</v>
      </c>
      <c r="Y102">
        <f>COUNTIFS(Absensi!$D100:$ND100,"CS",Absensi!$D$2:$ND$2,Y$6)</f>
        <v>0</v>
      </c>
      <c r="Z102">
        <f>COUNTIFS(Absensi!$D100:$ND100,"CS",Absensi!$D$2:$ND$2,Z$6)</f>
        <v>0</v>
      </c>
      <c r="AA102">
        <f>COUNTIFS(Absensi!$D100:$ND100,"CS",Absensi!$D$2:$ND$2,AA$6)</f>
        <v>0</v>
      </c>
      <c r="AB102">
        <f>COUNTIFS(Absensi!$D100:$ND100,"CS",Absensi!$D$2:$ND$2,AB$6)</f>
        <v>0</v>
      </c>
      <c r="AC102">
        <f t="shared" si="14"/>
        <v>12</v>
      </c>
      <c r="AD102">
        <f t="shared" si="15"/>
        <v>11</v>
      </c>
      <c r="AE102">
        <f t="shared" si="16"/>
        <v>11</v>
      </c>
      <c r="AF102">
        <f t="shared" si="17"/>
        <v>10</v>
      </c>
      <c r="AG102">
        <f t="shared" si="18"/>
        <v>10</v>
      </c>
      <c r="AH102">
        <f t="shared" si="19"/>
        <v>10</v>
      </c>
      <c r="AI102">
        <f t="shared" si="20"/>
        <v>10</v>
      </c>
      <c r="AJ102">
        <f t="shared" si="21"/>
        <v>10</v>
      </c>
      <c r="AK102">
        <f t="shared" si="22"/>
        <v>10</v>
      </c>
      <c r="AL102">
        <f t="shared" si="23"/>
        <v>10</v>
      </c>
      <c r="AM102">
        <f t="shared" si="24"/>
        <v>10</v>
      </c>
      <c r="AN102">
        <f t="shared" si="25"/>
        <v>10</v>
      </c>
    </row>
    <row r="103" spans="1:40" x14ac:dyDescent="0.25">
      <c r="A103" s="26">
        <v>97</v>
      </c>
      <c r="B103" s="27" t="str">
        <f>Absensi!B101</f>
        <v>Reef Plus</v>
      </c>
      <c r="C103" s="27" t="str">
        <f>Rekap!C103</f>
        <v>Nanto</v>
      </c>
      <c r="D103" s="46" t="str">
        <f t="shared" si="26"/>
        <v>Reef PlusNanto</v>
      </c>
      <c r="E103">
        <f>COUNTIFS(Absensi!$D101:$ND101,"C",Absensi!$D$2:$ND$2,E$6)</f>
        <v>0</v>
      </c>
      <c r="F103">
        <f>COUNTIFS(Absensi!$D101:$ND101,"C",Absensi!$D$2:$ND$2,F$6)</f>
        <v>0</v>
      </c>
      <c r="G103">
        <f>COUNTIFS(Absensi!$D101:$ND101,"C",Absensi!$D$2:$ND$2,G$6)</f>
        <v>5</v>
      </c>
      <c r="H103">
        <f>COUNTIFS(Absensi!$D101:$ND101,"C",Absensi!$D$2:$ND$2,H$6)</f>
        <v>7</v>
      </c>
      <c r="I103">
        <f>COUNTIFS(Absensi!$D101:$ND101,"C",Absensi!$D$2:$ND$2,I$6)</f>
        <v>2</v>
      </c>
      <c r="J103">
        <f>COUNTIFS(Absensi!$D101:$ND101,"C",Absensi!$D$2:$ND$2,J$6)</f>
        <v>0</v>
      </c>
      <c r="K103">
        <f>COUNTIFS(Absensi!$D101:$ND101,"C",Absensi!$D$2:$ND$2,K$6)</f>
        <v>0</v>
      </c>
      <c r="L103">
        <f>COUNTIFS(Absensi!$D101:$ND101,"C",Absensi!$D$2:$ND$2,L$6)</f>
        <v>0</v>
      </c>
      <c r="M103">
        <f>COUNTIFS(Absensi!$D101:$ND101,"C",Absensi!$D$2:$ND$2,M$6)</f>
        <v>0</v>
      </c>
      <c r="N103">
        <f>COUNTIFS(Absensi!$D101:$ND101,"C",Absensi!$D$2:$ND$2,N$6)</f>
        <v>0</v>
      </c>
      <c r="O103">
        <f>COUNTIFS(Absensi!$D101:$ND101,"C",Absensi!$D$2:$ND$2,O$6)</f>
        <v>0</v>
      </c>
      <c r="P103">
        <f>COUNTIFS(Absensi!$D101:$ND101,"C",Absensi!$D$2:$ND$2,P$6)</f>
        <v>0</v>
      </c>
      <c r="Q103">
        <f>COUNTIFS(Absensi!$D101:$ND101,"CS",Absensi!$D$2:$ND$2,Q$6)</f>
        <v>0</v>
      </c>
      <c r="R103">
        <f>COUNTIFS(Absensi!$D101:$ND101,"CS",Absensi!$D$2:$ND$2,R$6)</f>
        <v>0</v>
      </c>
      <c r="S103">
        <f>COUNTIFS(Absensi!$D101:$ND101,"CS",Absensi!$D$2:$ND$2,S$6)</f>
        <v>0</v>
      </c>
      <c r="T103">
        <f>COUNTIFS(Absensi!$D101:$ND101,"CS",Absensi!$D$2:$ND$2,T$6)</f>
        <v>0</v>
      </c>
      <c r="U103">
        <f>COUNTIFS(Absensi!$D101:$ND101,"CS",Absensi!$D$2:$ND$2,U$6)</f>
        <v>0</v>
      </c>
      <c r="V103">
        <f>COUNTIFS(Absensi!$D101:$ND101,"CS",Absensi!$D$2:$ND$2,V$6)</f>
        <v>0</v>
      </c>
      <c r="W103">
        <f>COUNTIFS(Absensi!$D101:$ND101,"CS",Absensi!$D$2:$ND$2,W$6)</f>
        <v>0</v>
      </c>
      <c r="X103">
        <f>COUNTIFS(Absensi!$D101:$ND101,"CS",Absensi!$D$2:$ND$2,X$6)</f>
        <v>0</v>
      </c>
      <c r="Y103">
        <f>COUNTIFS(Absensi!$D101:$ND101,"CS",Absensi!$D$2:$ND$2,Y$6)</f>
        <v>0</v>
      </c>
      <c r="Z103">
        <f>COUNTIFS(Absensi!$D101:$ND101,"CS",Absensi!$D$2:$ND$2,Z$6)</f>
        <v>0</v>
      </c>
      <c r="AA103">
        <f>COUNTIFS(Absensi!$D101:$ND101,"CS",Absensi!$D$2:$ND$2,AA$6)</f>
        <v>0</v>
      </c>
      <c r="AB103">
        <f>COUNTIFS(Absensi!$D101:$ND101,"CS",Absensi!$D$2:$ND$2,AB$6)</f>
        <v>0</v>
      </c>
      <c r="AC103">
        <f t="shared" si="14"/>
        <v>12</v>
      </c>
      <c r="AD103">
        <f t="shared" si="15"/>
        <v>12</v>
      </c>
      <c r="AE103">
        <f t="shared" si="16"/>
        <v>7</v>
      </c>
      <c r="AF103">
        <f t="shared" si="17"/>
        <v>0</v>
      </c>
      <c r="AG103">
        <f t="shared" si="18"/>
        <v>-2</v>
      </c>
      <c r="AH103">
        <f t="shared" si="19"/>
        <v>-2</v>
      </c>
      <c r="AI103">
        <f t="shared" si="20"/>
        <v>-2</v>
      </c>
      <c r="AJ103">
        <f t="shared" si="21"/>
        <v>-2</v>
      </c>
      <c r="AK103">
        <f t="shared" si="22"/>
        <v>-2</v>
      </c>
      <c r="AL103">
        <f t="shared" si="23"/>
        <v>-2</v>
      </c>
      <c r="AM103">
        <f t="shared" si="24"/>
        <v>-2</v>
      </c>
      <c r="AN103">
        <f t="shared" si="25"/>
        <v>-2</v>
      </c>
    </row>
    <row r="104" spans="1:40" x14ac:dyDescent="0.25">
      <c r="A104" s="26">
        <v>98</v>
      </c>
      <c r="B104" s="27" t="str">
        <f>Absensi!B102</f>
        <v>Reef Plus</v>
      </c>
      <c r="C104" s="27" t="str">
        <f>Rekap!C104</f>
        <v>Ibnu</v>
      </c>
      <c r="D104" s="46" t="str">
        <f t="shared" si="26"/>
        <v>Reef PlusIbnu</v>
      </c>
      <c r="E104">
        <f>COUNTIFS(Absensi!$D102:$ND102,"C",Absensi!$D$2:$ND$2,E$6)</f>
        <v>0</v>
      </c>
      <c r="F104">
        <f>COUNTIFS(Absensi!$D102:$ND102,"C",Absensi!$D$2:$ND$2,F$6)</f>
        <v>0</v>
      </c>
      <c r="G104">
        <f>COUNTIFS(Absensi!$D102:$ND102,"C",Absensi!$D$2:$ND$2,G$6)</f>
        <v>3</v>
      </c>
      <c r="H104">
        <f>COUNTIFS(Absensi!$D102:$ND102,"C",Absensi!$D$2:$ND$2,H$6)</f>
        <v>0</v>
      </c>
      <c r="I104">
        <f>COUNTIFS(Absensi!$D102:$ND102,"C",Absensi!$D$2:$ND$2,I$6)</f>
        <v>0</v>
      </c>
      <c r="J104">
        <f>COUNTIFS(Absensi!$D102:$ND102,"C",Absensi!$D$2:$ND$2,J$6)</f>
        <v>1</v>
      </c>
      <c r="K104">
        <f>COUNTIFS(Absensi!$D102:$ND102,"C",Absensi!$D$2:$ND$2,K$6)</f>
        <v>0</v>
      </c>
      <c r="L104">
        <f>COUNTIFS(Absensi!$D102:$ND102,"C",Absensi!$D$2:$ND$2,L$6)</f>
        <v>4</v>
      </c>
      <c r="M104">
        <f>COUNTIFS(Absensi!$D102:$ND102,"C",Absensi!$D$2:$ND$2,M$6)</f>
        <v>0</v>
      </c>
      <c r="N104">
        <f>COUNTIFS(Absensi!$D102:$ND102,"C",Absensi!$D$2:$ND$2,N$6)</f>
        <v>0</v>
      </c>
      <c r="O104">
        <f>COUNTIFS(Absensi!$D102:$ND102,"C",Absensi!$D$2:$ND$2,O$6)</f>
        <v>0</v>
      </c>
      <c r="P104">
        <f>COUNTIFS(Absensi!$D102:$ND102,"C",Absensi!$D$2:$ND$2,P$6)</f>
        <v>0</v>
      </c>
      <c r="Q104">
        <f>COUNTIFS(Absensi!$D102:$ND102,"CS",Absensi!$D$2:$ND$2,Q$6)</f>
        <v>0</v>
      </c>
      <c r="R104">
        <f>COUNTIFS(Absensi!$D102:$ND102,"CS",Absensi!$D$2:$ND$2,R$6)</f>
        <v>0</v>
      </c>
      <c r="S104">
        <f>COUNTIFS(Absensi!$D102:$ND102,"CS",Absensi!$D$2:$ND$2,S$6)</f>
        <v>0</v>
      </c>
      <c r="T104">
        <f>COUNTIFS(Absensi!$D102:$ND102,"CS",Absensi!$D$2:$ND$2,T$6)</f>
        <v>0</v>
      </c>
      <c r="U104">
        <f>COUNTIFS(Absensi!$D102:$ND102,"CS",Absensi!$D$2:$ND$2,U$6)</f>
        <v>0</v>
      </c>
      <c r="V104">
        <f>COUNTIFS(Absensi!$D102:$ND102,"CS",Absensi!$D$2:$ND$2,V$6)</f>
        <v>0</v>
      </c>
      <c r="W104">
        <f>COUNTIFS(Absensi!$D102:$ND102,"CS",Absensi!$D$2:$ND$2,W$6)</f>
        <v>0</v>
      </c>
      <c r="X104">
        <f>COUNTIFS(Absensi!$D102:$ND102,"CS",Absensi!$D$2:$ND$2,X$6)</f>
        <v>0</v>
      </c>
      <c r="Y104">
        <f>COUNTIFS(Absensi!$D102:$ND102,"CS",Absensi!$D$2:$ND$2,Y$6)</f>
        <v>0</v>
      </c>
      <c r="Z104">
        <f>COUNTIFS(Absensi!$D102:$ND102,"CS",Absensi!$D$2:$ND$2,Z$6)</f>
        <v>0</v>
      </c>
      <c r="AA104">
        <f>COUNTIFS(Absensi!$D102:$ND102,"CS",Absensi!$D$2:$ND$2,AA$6)</f>
        <v>0</v>
      </c>
      <c r="AB104">
        <f>COUNTIFS(Absensi!$D102:$ND102,"CS",Absensi!$D$2:$ND$2,AB$6)</f>
        <v>0</v>
      </c>
      <c r="AC104">
        <f t="shared" si="14"/>
        <v>12</v>
      </c>
      <c r="AD104">
        <f t="shared" si="15"/>
        <v>12</v>
      </c>
      <c r="AE104">
        <f t="shared" si="16"/>
        <v>9</v>
      </c>
      <c r="AF104">
        <f t="shared" si="17"/>
        <v>9</v>
      </c>
      <c r="AG104">
        <f t="shared" si="18"/>
        <v>9</v>
      </c>
      <c r="AH104">
        <f t="shared" si="19"/>
        <v>8</v>
      </c>
      <c r="AI104">
        <f t="shared" si="20"/>
        <v>8</v>
      </c>
      <c r="AJ104">
        <f t="shared" si="21"/>
        <v>4</v>
      </c>
      <c r="AK104">
        <f t="shared" si="22"/>
        <v>4</v>
      </c>
      <c r="AL104">
        <f t="shared" si="23"/>
        <v>4</v>
      </c>
      <c r="AM104">
        <f t="shared" si="24"/>
        <v>4</v>
      </c>
      <c r="AN104">
        <f t="shared" si="25"/>
        <v>4</v>
      </c>
    </row>
    <row r="105" spans="1:40" x14ac:dyDescent="0.25">
      <c r="A105" s="26">
        <v>99</v>
      </c>
      <c r="B105" s="27" t="str">
        <f>Absensi!B103</f>
        <v>Reef Plus</v>
      </c>
      <c r="C105" s="27" t="str">
        <f>Rekap!C105</f>
        <v>Gilang</v>
      </c>
      <c r="D105" s="46" t="str">
        <f t="shared" si="26"/>
        <v>Reef PlusGilang</v>
      </c>
      <c r="E105">
        <f>COUNTIFS(Absensi!$D103:$ND103,"C",Absensi!$D$2:$ND$2,E$6)</f>
        <v>12</v>
      </c>
      <c r="F105">
        <f>COUNTIFS(Absensi!$D103:$ND103,"C",Absensi!$D$2:$ND$2,F$6)</f>
        <v>0</v>
      </c>
      <c r="G105">
        <f>COUNTIFS(Absensi!$D103:$ND103,"C",Absensi!$D$2:$ND$2,G$6)</f>
        <v>0</v>
      </c>
      <c r="H105">
        <f>COUNTIFS(Absensi!$D103:$ND103,"C",Absensi!$D$2:$ND$2,H$6)</f>
        <v>0</v>
      </c>
      <c r="I105">
        <f>COUNTIFS(Absensi!$D103:$ND103,"C",Absensi!$D$2:$ND$2,I$6)</f>
        <v>0</v>
      </c>
      <c r="J105">
        <f>COUNTIFS(Absensi!$D103:$ND103,"C",Absensi!$D$2:$ND$2,J$6)</f>
        <v>0</v>
      </c>
      <c r="K105">
        <f>COUNTIFS(Absensi!$D103:$ND103,"C",Absensi!$D$2:$ND$2,K$6)</f>
        <v>0</v>
      </c>
      <c r="L105">
        <f>COUNTIFS(Absensi!$D103:$ND103,"C",Absensi!$D$2:$ND$2,L$6)</f>
        <v>0</v>
      </c>
      <c r="M105">
        <f>COUNTIFS(Absensi!$D103:$ND103,"C",Absensi!$D$2:$ND$2,M$6)</f>
        <v>0</v>
      </c>
      <c r="N105">
        <f>COUNTIFS(Absensi!$D103:$ND103,"C",Absensi!$D$2:$ND$2,N$6)</f>
        <v>0</v>
      </c>
      <c r="O105">
        <f>COUNTIFS(Absensi!$D103:$ND103,"C",Absensi!$D$2:$ND$2,O$6)</f>
        <v>0</v>
      </c>
      <c r="P105">
        <f>COUNTIFS(Absensi!$D103:$ND103,"C",Absensi!$D$2:$ND$2,P$6)</f>
        <v>0</v>
      </c>
      <c r="Q105">
        <f>COUNTIFS(Absensi!$D103:$ND103,"CS",Absensi!$D$2:$ND$2,Q$6)</f>
        <v>0</v>
      </c>
      <c r="R105">
        <f>COUNTIFS(Absensi!$D103:$ND103,"CS",Absensi!$D$2:$ND$2,R$6)</f>
        <v>0</v>
      </c>
      <c r="S105">
        <f>COUNTIFS(Absensi!$D103:$ND103,"CS",Absensi!$D$2:$ND$2,S$6)</f>
        <v>0</v>
      </c>
      <c r="T105">
        <f>COUNTIFS(Absensi!$D103:$ND103,"CS",Absensi!$D$2:$ND$2,T$6)</f>
        <v>0</v>
      </c>
      <c r="U105">
        <f>COUNTIFS(Absensi!$D103:$ND103,"CS",Absensi!$D$2:$ND$2,U$6)</f>
        <v>0</v>
      </c>
      <c r="V105">
        <f>COUNTIFS(Absensi!$D103:$ND103,"CS",Absensi!$D$2:$ND$2,V$6)</f>
        <v>0</v>
      </c>
      <c r="W105">
        <f>COUNTIFS(Absensi!$D103:$ND103,"CS",Absensi!$D$2:$ND$2,W$6)</f>
        <v>0</v>
      </c>
      <c r="X105">
        <f>COUNTIFS(Absensi!$D103:$ND103,"CS",Absensi!$D$2:$ND$2,X$6)</f>
        <v>0</v>
      </c>
      <c r="Y105">
        <f>COUNTIFS(Absensi!$D103:$ND103,"CS",Absensi!$D$2:$ND$2,Y$6)</f>
        <v>0</v>
      </c>
      <c r="Z105">
        <f>COUNTIFS(Absensi!$D103:$ND103,"CS",Absensi!$D$2:$ND$2,Z$6)</f>
        <v>0</v>
      </c>
      <c r="AA105">
        <f>COUNTIFS(Absensi!$D103:$ND103,"CS",Absensi!$D$2:$ND$2,AA$6)</f>
        <v>0</v>
      </c>
      <c r="AB105">
        <f>COUNTIFS(Absensi!$D103:$ND103,"CS",Absensi!$D$2:$ND$2,AB$6)</f>
        <v>0</v>
      </c>
      <c r="AC105">
        <f t="shared" si="14"/>
        <v>0</v>
      </c>
      <c r="AD105">
        <f t="shared" si="15"/>
        <v>0</v>
      </c>
      <c r="AE105">
        <f t="shared" si="16"/>
        <v>0</v>
      </c>
      <c r="AF105">
        <f t="shared" si="17"/>
        <v>0</v>
      </c>
      <c r="AG105">
        <f t="shared" si="18"/>
        <v>0</v>
      </c>
      <c r="AH105">
        <f t="shared" si="19"/>
        <v>0</v>
      </c>
      <c r="AI105">
        <f t="shared" si="20"/>
        <v>0</v>
      </c>
      <c r="AJ105">
        <f t="shared" si="21"/>
        <v>0</v>
      </c>
      <c r="AK105">
        <f t="shared" si="22"/>
        <v>0</v>
      </c>
      <c r="AL105">
        <f t="shared" si="23"/>
        <v>0</v>
      </c>
      <c r="AM105">
        <f t="shared" si="24"/>
        <v>0</v>
      </c>
      <c r="AN105">
        <f t="shared" si="25"/>
        <v>0</v>
      </c>
    </row>
    <row r="106" spans="1:40" x14ac:dyDescent="0.25">
      <c r="A106" s="26">
        <v>100</v>
      </c>
      <c r="B106" s="27" t="str">
        <f>Absensi!B104</f>
        <v>Reef Plus</v>
      </c>
      <c r="C106" s="27" t="str">
        <f>Rekap!C106</f>
        <v>Fajar</v>
      </c>
      <c r="D106" s="46" t="str">
        <f t="shared" si="26"/>
        <v>Reef PlusFajar</v>
      </c>
      <c r="E106">
        <f>COUNTIFS(Absensi!$D104:$ND104,"C",Absensi!$D$2:$ND$2,E$6)</f>
        <v>12</v>
      </c>
      <c r="F106">
        <f>COUNTIFS(Absensi!$D104:$ND104,"C",Absensi!$D$2:$ND$2,F$6)</f>
        <v>0</v>
      </c>
      <c r="G106">
        <f>COUNTIFS(Absensi!$D104:$ND104,"C",Absensi!$D$2:$ND$2,G$6)</f>
        <v>0</v>
      </c>
      <c r="H106">
        <f>COUNTIFS(Absensi!$D104:$ND104,"C",Absensi!$D$2:$ND$2,H$6)</f>
        <v>0</v>
      </c>
      <c r="I106">
        <f>COUNTIFS(Absensi!$D104:$ND104,"C",Absensi!$D$2:$ND$2,I$6)</f>
        <v>0</v>
      </c>
      <c r="J106">
        <f>COUNTIFS(Absensi!$D104:$ND104,"C",Absensi!$D$2:$ND$2,J$6)</f>
        <v>2</v>
      </c>
      <c r="K106">
        <f>COUNTIFS(Absensi!$D104:$ND104,"C",Absensi!$D$2:$ND$2,K$6)</f>
        <v>1</v>
      </c>
      <c r="L106">
        <f>COUNTIFS(Absensi!$D104:$ND104,"C",Absensi!$D$2:$ND$2,L$6)</f>
        <v>0</v>
      </c>
      <c r="M106">
        <f>COUNTIFS(Absensi!$D104:$ND104,"C",Absensi!$D$2:$ND$2,M$6)</f>
        <v>0</v>
      </c>
      <c r="N106">
        <f>COUNTIFS(Absensi!$D104:$ND104,"C",Absensi!$D$2:$ND$2,N$6)</f>
        <v>0</v>
      </c>
      <c r="O106">
        <f>COUNTIFS(Absensi!$D104:$ND104,"C",Absensi!$D$2:$ND$2,O$6)</f>
        <v>0</v>
      </c>
      <c r="P106">
        <f>COUNTIFS(Absensi!$D104:$ND104,"C",Absensi!$D$2:$ND$2,P$6)</f>
        <v>0</v>
      </c>
      <c r="Q106">
        <f>COUNTIFS(Absensi!$D104:$ND104,"CS",Absensi!$D$2:$ND$2,Q$6)</f>
        <v>0</v>
      </c>
      <c r="R106">
        <f>COUNTIFS(Absensi!$D104:$ND104,"CS",Absensi!$D$2:$ND$2,R$6)</f>
        <v>0</v>
      </c>
      <c r="S106">
        <f>COUNTIFS(Absensi!$D104:$ND104,"CS",Absensi!$D$2:$ND$2,S$6)</f>
        <v>0</v>
      </c>
      <c r="T106">
        <f>COUNTIFS(Absensi!$D104:$ND104,"CS",Absensi!$D$2:$ND$2,T$6)</f>
        <v>0</v>
      </c>
      <c r="U106">
        <f>COUNTIFS(Absensi!$D104:$ND104,"CS",Absensi!$D$2:$ND$2,U$6)</f>
        <v>0</v>
      </c>
      <c r="V106">
        <f>COUNTIFS(Absensi!$D104:$ND104,"CS",Absensi!$D$2:$ND$2,V$6)</f>
        <v>0</v>
      </c>
      <c r="W106">
        <f>COUNTIFS(Absensi!$D104:$ND104,"CS",Absensi!$D$2:$ND$2,W$6)</f>
        <v>0</v>
      </c>
      <c r="X106">
        <f>COUNTIFS(Absensi!$D104:$ND104,"CS",Absensi!$D$2:$ND$2,X$6)</f>
        <v>0</v>
      </c>
      <c r="Y106">
        <f>COUNTIFS(Absensi!$D104:$ND104,"CS",Absensi!$D$2:$ND$2,Y$6)</f>
        <v>0</v>
      </c>
      <c r="Z106">
        <f>COUNTIFS(Absensi!$D104:$ND104,"CS",Absensi!$D$2:$ND$2,Z$6)</f>
        <v>0</v>
      </c>
      <c r="AA106">
        <f>COUNTIFS(Absensi!$D104:$ND104,"CS",Absensi!$D$2:$ND$2,AA$6)</f>
        <v>0</v>
      </c>
      <c r="AB106">
        <f>COUNTIFS(Absensi!$D104:$ND104,"CS",Absensi!$D$2:$ND$2,AB$6)</f>
        <v>0</v>
      </c>
      <c r="AC106">
        <f t="shared" si="14"/>
        <v>0</v>
      </c>
      <c r="AD106">
        <f t="shared" si="15"/>
        <v>0</v>
      </c>
      <c r="AE106">
        <f t="shared" si="16"/>
        <v>0</v>
      </c>
      <c r="AF106">
        <f t="shared" si="17"/>
        <v>0</v>
      </c>
      <c r="AG106">
        <f t="shared" si="18"/>
        <v>0</v>
      </c>
      <c r="AH106">
        <f t="shared" si="19"/>
        <v>-2</v>
      </c>
      <c r="AI106">
        <f t="shared" si="20"/>
        <v>-3</v>
      </c>
      <c r="AJ106">
        <f t="shared" si="21"/>
        <v>-3</v>
      </c>
      <c r="AK106">
        <f t="shared" si="22"/>
        <v>-3</v>
      </c>
      <c r="AL106">
        <f t="shared" si="23"/>
        <v>-3</v>
      </c>
      <c r="AM106">
        <f t="shared" si="24"/>
        <v>-3</v>
      </c>
      <c r="AN106">
        <f t="shared" si="25"/>
        <v>-3</v>
      </c>
    </row>
    <row r="107" spans="1:40" x14ac:dyDescent="0.25">
      <c r="A107" s="26">
        <v>101</v>
      </c>
      <c r="B107" s="27" t="str">
        <f>Absensi!B105</f>
        <v>Reef Plus</v>
      </c>
      <c r="C107" s="27" t="str">
        <f>Rekap!C107</f>
        <v>Indra</v>
      </c>
      <c r="D107" s="46" t="str">
        <f t="shared" si="26"/>
        <v>Reef PlusIndra</v>
      </c>
      <c r="E107">
        <f>COUNTIFS(Absensi!$D105:$ND105,"C",Absensi!$D$2:$ND$2,E$6)</f>
        <v>12</v>
      </c>
      <c r="F107">
        <f>COUNTIFS(Absensi!$D105:$ND105,"C",Absensi!$D$2:$ND$2,F$6)</f>
        <v>0</v>
      </c>
      <c r="G107">
        <f>COUNTIFS(Absensi!$D105:$ND105,"C",Absensi!$D$2:$ND$2,G$6)</f>
        <v>0</v>
      </c>
      <c r="H107">
        <f>COUNTIFS(Absensi!$D105:$ND105,"C",Absensi!$D$2:$ND$2,H$6)</f>
        <v>0</v>
      </c>
      <c r="I107">
        <f>COUNTIFS(Absensi!$D105:$ND105,"C",Absensi!$D$2:$ND$2,I$6)</f>
        <v>0</v>
      </c>
      <c r="J107">
        <f>COUNTIFS(Absensi!$D105:$ND105,"C",Absensi!$D$2:$ND$2,J$6)</f>
        <v>5</v>
      </c>
      <c r="K107">
        <f>COUNTIFS(Absensi!$D105:$ND105,"C",Absensi!$D$2:$ND$2,K$6)</f>
        <v>0</v>
      </c>
      <c r="L107">
        <f>COUNTIFS(Absensi!$D105:$ND105,"C",Absensi!$D$2:$ND$2,L$6)</f>
        <v>0</v>
      </c>
      <c r="M107">
        <f>COUNTIFS(Absensi!$D105:$ND105,"C",Absensi!$D$2:$ND$2,M$6)</f>
        <v>1</v>
      </c>
      <c r="N107">
        <f>COUNTIFS(Absensi!$D105:$ND105,"C",Absensi!$D$2:$ND$2,N$6)</f>
        <v>0</v>
      </c>
      <c r="O107">
        <f>COUNTIFS(Absensi!$D105:$ND105,"C",Absensi!$D$2:$ND$2,O$6)</f>
        <v>0</v>
      </c>
      <c r="P107">
        <f>COUNTIFS(Absensi!$D105:$ND105,"C",Absensi!$D$2:$ND$2,P$6)</f>
        <v>0</v>
      </c>
      <c r="Q107">
        <f>COUNTIFS(Absensi!$D105:$ND105,"CS",Absensi!$D$2:$ND$2,Q$6)</f>
        <v>0</v>
      </c>
      <c r="R107">
        <f>COUNTIFS(Absensi!$D105:$ND105,"CS",Absensi!$D$2:$ND$2,R$6)</f>
        <v>0</v>
      </c>
      <c r="S107">
        <f>COUNTIFS(Absensi!$D105:$ND105,"CS",Absensi!$D$2:$ND$2,S$6)</f>
        <v>0</v>
      </c>
      <c r="T107">
        <f>COUNTIFS(Absensi!$D105:$ND105,"CS",Absensi!$D$2:$ND$2,T$6)</f>
        <v>0</v>
      </c>
      <c r="U107">
        <f>COUNTIFS(Absensi!$D105:$ND105,"CS",Absensi!$D$2:$ND$2,U$6)</f>
        <v>0</v>
      </c>
      <c r="V107">
        <f>COUNTIFS(Absensi!$D105:$ND105,"CS",Absensi!$D$2:$ND$2,V$6)</f>
        <v>0</v>
      </c>
      <c r="W107">
        <f>COUNTIFS(Absensi!$D105:$ND105,"CS",Absensi!$D$2:$ND$2,W$6)</f>
        <v>0</v>
      </c>
      <c r="X107">
        <f>COUNTIFS(Absensi!$D105:$ND105,"CS",Absensi!$D$2:$ND$2,X$6)</f>
        <v>0</v>
      </c>
      <c r="Y107">
        <f>COUNTIFS(Absensi!$D105:$ND105,"CS",Absensi!$D$2:$ND$2,Y$6)</f>
        <v>0</v>
      </c>
      <c r="Z107">
        <f>COUNTIFS(Absensi!$D105:$ND105,"CS",Absensi!$D$2:$ND$2,Z$6)</f>
        <v>0</v>
      </c>
      <c r="AA107">
        <f>COUNTIFS(Absensi!$D105:$ND105,"CS",Absensi!$D$2:$ND$2,AA$6)</f>
        <v>0</v>
      </c>
      <c r="AB107">
        <f>COUNTIFS(Absensi!$D105:$ND105,"CS",Absensi!$D$2:$ND$2,AB$6)</f>
        <v>0</v>
      </c>
      <c r="AC107">
        <f t="shared" si="14"/>
        <v>0</v>
      </c>
      <c r="AD107">
        <f t="shared" si="15"/>
        <v>0</v>
      </c>
      <c r="AE107">
        <f t="shared" si="16"/>
        <v>0</v>
      </c>
      <c r="AF107">
        <f t="shared" si="17"/>
        <v>0</v>
      </c>
      <c r="AG107">
        <f t="shared" si="18"/>
        <v>0</v>
      </c>
      <c r="AH107">
        <f t="shared" si="19"/>
        <v>-5</v>
      </c>
      <c r="AI107">
        <f t="shared" si="20"/>
        <v>-5</v>
      </c>
      <c r="AJ107">
        <f t="shared" si="21"/>
        <v>-5</v>
      </c>
      <c r="AK107">
        <f t="shared" si="22"/>
        <v>-6</v>
      </c>
      <c r="AL107">
        <f t="shared" si="23"/>
        <v>-6</v>
      </c>
      <c r="AM107">
        <f t="shared" si="24"/>
        <v>-6</v>
      </c>
      <c r="AN107">
        <f t="shared" si="25"/>
        <v>-6</v>
      </c>
    </row>
    <row r="108" spans="1:40" x14ac:dyDescent="0.25">
      <c r="A108" s="26">
        <v>102</v>
      </c>
      <c r="B108" s="27" t="str">
        <f>Absensi!B106</f>
        <v>Reef Plus</v>
      </c>
      <c r="C108" s="27" t="str">
        <f>Rekap!C108</f>
        <v>Agus</v>
      </c>
      <c r="D108" s="46" t="str">
        <f t="shared" si="26"/>
        <v>Reef PlusAgus</v>
      </c>
      <c r="E108">
        <f>COUNTIFS(Absensi!$D106:$ND106,"C",Absensi!$D$2:$ND$2,E$6)</f>
        <v>12</v>
      </c>
      <c r="F108">
        <f>COUNTIFS(Absensi!$D106:$ND106,"C",Absensi!$D$2:$ND$2,F$6)</f>
        <v>0</v>
      </c>
      <c r="G108">
        <f>COUNTIFS(Absensi!$D106:$ND106,"C",Absensi!$D$2:$ND$2,G$6)</f>
        <v>0</v>
      </c>
      <c r="H108">
        <f>COUNTIFS(Absensi!$D106:$ND106,"C",Absensi!$D$2:$ND$2,H$6)</f>
        <v>0</v>
      </c>
      <c r="I108">
        <f>COUNTIFS(Absensi!$D106:$ND106,"C",Absensi!$D$2:$ND$2,I$6)</f>
        <v>0</v>
      </c>
      <c r="J108">
        <f>COUNTIFS(Absensi!$D106:$ND106,"C",Absensi!$D$2:$ND$2,J$6)</f>
        <v>0</v>
      </c>
      <c r="K108">
        <f>COUNTIFS(Absensi!$D106:$ND106,"C",Absensi!$D$2:$ND$2,K$6)</f>
        <v>0</v>
      </c>
      <c r="L108">
        <f>COUNTIFS(Absensi!$D106:$ND106,"C",Absensi!$D$2:$ND$2,L$6)</f>
        <v>0</v>
      </c>
      <c r="M108">
        <f>COUNTIFS(Absensi!$D106:$ND106,"C",Absensi!$D$2:$ND$2,M$6)</f>
        <v>0</v>
      </c>
      <c r="N108">
        <f>COUNTIFS(Absensi!$D106:$ND106,"C",Absensi!$D$2:$ND$2,N$6)</f>
        <v>0</v>
      </c>
      <c r="O108">
        <f>COUNTIFS(Absensi!$D106:$ND106,"C",Absensi!$D$2:$ND$2,O$6)</f>
        <v>0</v>
      </c>
      <c r="P108">
        <f>COUNTIFS(Absensi!$D106:$ND106,"C",Absensi!$D$2:$ND$2,P$6)</f>
        <v>0</v>
      </c>
      <c r="Q108">
        <f>COUNTIFS(Absensi!$D106:$ND106,"CS",Absensi!$D$2:$ND$2,Q$6)</f>
        <v>0</v>
      </c>
      <c r="R108">
        <f>COUNTIFS(Absensi!$D106:$ND106,"CS",Absensi!$D$2:$ND$2,R$6)</f>
        <v>0</v>
      </c>
      <c r="S108">
        <f>COUNTIFS(Absensi!$D106:$ND106,"CS",Absensi!$D$2:$ND$2,S$6)</f>
        <v>0</v>
      </c>
      <c r="T108">
        <f>COUNTIFS(Absensi!$D106:$ND106,"CS",Absensi!$D$2:$ND$2,T$6)</f>
        <v>0</v>
      </c>
      <c r="U108">
        <f>COUNTIFS(Absensi!$D106:$ND106,"CS",Absensi!$D$2:$ND$2,U$6)</f>
        <v>0</v>
      </c>
      <c r="V108">
        <f>COUNTIFS(Absensi!$D106:$ND106,"CS",Absensi!$D$2:$ND$2,V$6)</f>
        <v>0</v>
      </c>
      <c r="W108">
        <f>COUNTIFS(Absensi!$D106:$ND106,"CS",Absensi!$D$2:$ND$2,W$6)</f>
        <v>0</v>
      </c>
      <c r="X108">
        <f>COUNTIFS(Absensi!$D106:$ND106,"CS",Absensi!$D$2:$ND$2,X$6)</f>
        <v>0</v>
      </c>
      <c r="Y108">
        <f>COUNTIFS(Absensi!$D106:$ND106,"CS",Absensi!$D$2:$ND$2,Y$6)</f>
        <v>0</v>
      </c>
      <c r="Z108">
        <f>COUNTIFS(Absensi!$D106:$ND106,"CS",Absensi!$D$2:$ND$2,Z$6)</f>
        <v>0</v>
      </c>
      <c r="AA108">
        <f>COUNTIFS(Absensi!$D106:$ND106,"CS",Absensi!$D$2:$ND$2,AA$6)</f>
        <v>0</v>
      </c>
      <c r="AB108">
        <f>COUNTIFS(Absensi!$D106:$ND106,"CS",Absensi!$D$2:$ND$2,AB$6)</f>
        <v>0</v>
      </c>
      <c r="AC108">
        <f t="shared" si="14"/>
        <v>0</v>
      </c>
      <c r="AD108">
        <f t="shared" si="15"/>
        <v>0</v>
      </c>
      <c r="AE108">
        <f t="shared" si="16"/>
        <v>0</v>
      </c>
      <c r="AF108">
        <f t="shared" si="17"/>
        <v>0</v>
      </c>
      <c r="AG108">
        <f t="shared" si="18"/>
        <v>0</v>
      </c>
      <c r="AH108">
        <f t="shared" si="19"/>
        <v>0</v>
      </c>
      <c r="AI108">
        <f t="shared" si="20"/>
        <v>0</v>
      </c>
      <c r="AJ108">
        <f t="shared" si="21"/>
        <v>0</v>
      </c>
      <c r="AK108">
        <f t="shared" si="22"/>
        <v>0</v>
      </c>
      <c r="AL108">
        <f t="shared" si="23"/>
        <v>0</v>
      </c>
      <c r="AM108">
        <f t="shared" si="24"/>
        <v>0</v>
      </c>
      <c r="AN108">
        <f t="shared" si="25"/>
        <v>0</v>
      </c>
    </row>
    <row r="109" spans="1:40" x14ac:dyDescent="0.25">
      <c r="A109" s="26">
        <v>103</v>
      </c>
      <c r="B109" s="27" t="str">
        <f>Absensi!B107</f>
        <v>Kebayoran Lama</v>
      </c>
      <c r="C109" s="27" t="str">
        <f>Rekap!C109</f>
        <v>Edi Kuswanto</v>
      </c>
      <c r="D109" s="46" t="str">
        <f t="shared" si="26"/>
        <v>Kebayoran LamaEdi Kuswanto</v>
      </c>
      <c r="E109">
        <f>COUNTIFS(Absensi!$D107:$ND107,"C",Absensi!$D$2:$ND$2,E$6)</f>
        <v>0</v>
      </c>
      <c r="F109">
        <f>COUNTIFS(Absensi!$D107:$ND107,"C",Absensi!$D$2:$ND$2,F$6)</f>
        <v>0</v>
      </c>
      <c r="G109">
        <f>COUNTIFS(Absensi!$D107:$ND107,"C",Absensi!$D$2:$ND$2,G$6)</f>
        <v>0</v>
      </c>
      <c r="H109">
        <f>COUNTIFS(Absensi!$D107:$ND107,"C",Absensi!$D$2:$ND$2,H$6)</f>
        <v>0</v>
      </c>
      <c r="I109">
        <f>COUNTIFS(Absensi!$D107:$ND107,"C",Absensi!$D$2:$ND$2,I$6)</f>
        <v>0</v>
      </c>
      <c r="J109">
        <f>COUNTIFS(Absensi!$D107:$ND107,"C",Absensi!$D$2:$ND$2,J$6)</f>
        <v>0</v>
      </c>
      <c r="K109">
        <f>COUNTIFS(Absensi!$D107:$ND107,"C",Absensi!$D$2:$ND$2,K$6)</f>
        <v>0</v>
      </c>
      <c r="L109">
        <f>COUNTIFS(Absensi!$D107:$ND107,"C",Absensi!$D$2:$ND$2,L$6)</f>
        <v>0</v>
      </c>
      <c r="M109">
        <f>COUNTIFS(Absensi!$D107:$ND107,"C",Absensi!$D$2:$ND$2,M$6)</f>
        <v>0</v>
      </c>
      <c r="N109">
        <f>COUNTIFS(Absensi!$D107:$ND107,"C",Absensi!$D$2:$ND$2,N$6)</f>
        <v>0</v>
      </c>
      <c r="O109">
        <f>COUNTIFS(Absensi!$D107:$ND107,"C",Absensi!$D$2:$ND$2,O$6)</f>
        <v>0</v>
      </c>
      <c r="P109">
        <f>COUNTIFS(Absensi!$D107:$ND107,"C",Absensi!$D$2:$ND$2,P$6)</f>
        <v>0</v>
      </c>
      <c r="Q109">
        <f>COUNTIFS(Absensi!$D107:$ND107,"CS",Absensi!$D$2:$ND$2,Q$6)</f>
        <v>0</v>
      </c>
      <c r="R109">
        <f>COUNTIFS(Absensi!$D107:$ND107,"CS",Absensi!$D$2:$ND$2,R$6)</f>
        <v>0</v>
      </c>
      <c r="S109">
        <f>COUNTIFS(Absensi!$D107:$ND107,"CS",Absensi!$D$2:$ND$2,S$6)</f>
        <v>0</v>
      </c>
      <c r="T109">
        <f>COUNTIFS(Absensi!$D107:$ND107,"CS",Absensi!$D$2:$ND$2,T$6)</f>
        <v>0</v>
      </c>
      <c r="U109">
        <f>COUNTIFS(Absensi!$D107:$ND107,"CS",Absensi!$D$2:$ND$2,U$6)</f>
        <v>0</v>
      </c>
      <c r="V109">
        <f>COUNTIFS(Absensi!$D107:$ND107,"CS",Absensi!$D$2:$ND$2,V$6)</f>
        <v>0</v>
      </c>
      <c r="W109">
        <f>COUNTIFS(Absensi!$D107:$ND107,"CS",Absensi!$D$2:$ND$2,W$6)</f>
        <v>0</v>
      </c>
      <c r="X109">
        <f>COUNTIFS(Absensi!$D107:$ND107,"CS",Absensi!$D$2:$ND$2,X$6)</f>
        <v>0</v>
      </c>
      <c r="Y109">
        <f>COUNTIFS(Absensi!$D107:$ND107,"CS",Absensi!$D$2:$ND$2,Y$6)</f>
        <v>0</v>
      </c>
      <c r="Z109">
        <f>COUNTIFS(Absensi!$D107:$ND107,"CS",Absensi!$D$2:$ND$2,Z$6)</f>
        <v>0</v>
      </c>
      <c r="AA109">
        <f>COUNTIFS(Absensi!$D107:$ND107,"CS",Absensi!$D$2:$ND$2,AA$6)</f>
        <v>0</v>
      </c>
      <c r="AB109">
        <f>COUNTIFS(Absensi!$D107:$ND107,"CS",Absensi!$D$2:$ND$2,AB$6)</f>
        <v>0</v>
      </c>
      <c r="AC109">
        <f t="shared" si="14"/>
        <v>12</v>
      </c>
      <c r="AD109">
        <f t="shared" si="15"/>
        <v>12</v>
      </c>
      <c r="AE109">
        <f t="shared" si="16"/>
        <v>12</v>
      </c>
      <c r="AF109">
        <f t="shared" si="17"/>
        <v>12</v>
      </c>
      <c r="AG109">
        <f t="shared" si="18"/>
        <v>12</v>
      </c>
      <c r="AH109">
        <f t="shared" si="19"/>
        <v>12</v>
      </c>
      <c r="AI109">
        <f t="shared" si="20"/>
        <v>12</v>
      </c>
      <c r="AJ109">
        <f t="shared" si="21"/>
        <v>12</v>
      </c>
      <c r="AK109">
        <f t="shared" si="22"/>
        <v>12</v>
      </c>
      <c r="AL109">
        <f t="shared" si="23"/>
        <v>12</v>
      </c>
      <c r="AM109">
        <f t="shared" si="24"/>
        <v>12</v>
      </c>
      <c r="AN109">
        <f t="shared" si="25"/>
        <v>12</v>
      </c>
    </row>
    <row r="110" spans="1:40" ht="30" x14ac:dyDescent="0.25">
      <c r="A110" s="26">
        <v>104</v>
      </c>
      <c r="B110" s="27" t="str">
        <f>Absensi!B108</f>
        <v>Kebayoran Lama</v>
      </c>
      <c r="C110" s="27" t="str">
        <f>Rekap!C110</f>
        <v>Iwan hendrawan</v>
      </c>
      <c r="D110" s="46" t="str">
        <f t="shared" si="26"/>
        <v>Kebayoran LamaIwan hendrawan</v>
      </c>
      <c r="E110">
        <f>COUNTIFS(Absensi!$D108:$ND108,"C",Absensi!$D$2:$ND$2,E$6)</f>
        <v>0</v>
      </c>
      <c r="F110">
        <f>COUNTIFS(Absensi!$D108:$ND108,"C",Absensi!$D$2:$ND$2,F$6)</f>
        <v>0</v>
      </c>
      <c r="G110">
        <f>COUNTIFS(Absensi!$D108:$ND108,"C",Absensi!$D$2:$ND$2,G$6)</f>
        <v>0</v>
      </c>
      <c r="H110">
        <f>COUNTIFS(Absensi!$D108:$ND108,"C",Absensi!$D$2:$ND$2,H$6)</f>
        <v>2</v>
      </c>
      <c r="I110">
        <f>COUNTIFS(Absensi!$D108:$ND108,"C",Absensi!$D$2:$ND$2,I$6)</f>
        <v>1</v>
      </c>
      <c r="J110">
        <f>COUNTIFS(Absensi!$D108:$ND108,"C",Absensi!$D$2:$ND$2,J$6)</f>
        <v>0</v>
      </c>
      <c r="K110">
        <f>COUNTIFS(Absensi!$D108:$ND108,"C",Absensi!$D$2:$ND$2,K$6)</f>
        <v>0</v>
      </c>
      <c r="L110">
        <f>COUNTIFS(Absensi!$D108:$ND108,"C",Absensi!$D$2:$ND$2,L$6)</f>
        <v>0</v>
      </c>
      <c r="M110">
        <f>COUNTIFS(Absensi!$D108:$ND108,"C",Absensi!$D$2:$ND$2,M$6)</f>
        <v>0</v>
      </c>
      <c r="N110">
        <f>COUNTIFS(Absensi!$D108:$ND108,"C",Absensi!$D$2:$ND$2,N$6)</f>
        <v>0</v>
      </c>
      <c r="O110">
        <f>COUNTIFS(Absensi!$D108:$ND108,"C",Absensi!$D$2:$ND$2,O$6)</f>
        <v>0</v>
      </c>
      <c r="P110">
        <f>COUNTIFS(Absensi!$D108:$ND108,"C",Absensi!$D$2:$ND$2,P$6)</f>
        <v>0</v>
      </c>
      <c r="Q110">
        <f>COUNTIFS(Absensi!$D108:$ND108,"CS",Absensi!$D$2:$ND$2,Q$6)</f>
        <v>0</v>
      </c>
      <c r="R110">
        <f>COUNTIFS(Absensi!$D108:$ND108,"CS",Absensi!$D$2:$ND$2,R$6)</f>
        <v>0</v>
      </c>
      <c r="S110">
        <f>COUNTIFS(Absensi!$D108:$ND108,"CS",Absensi!$D$2:$ND$2,S$6)</f>
        <v>0</v>
      </c>
      <c r="T110">
        <f>COUNTIFS(Absensi!$D108:$ND108,"CS",Absensi!$D$2:$ND$2,T$6)</f>
        <v>0</v>
      </c>
      <c r="U110">
        <f>COUNTIFS(Absensi!$D108:$ND108,"CS",Absensi!$D$2:$ND$2,U$6)</f>
        <v>0</v>
      </c>
      <c r="V110">
        <f>COUNTIFS(Absensi!$D108:$ND108,"CS",Absensi!$D$2:$ND$2,V$6)</f>
        <v>0</v>
      </c>
      <c r="W110">
        <f>COUNTIFS(Absensi!$D108:$ND108,"CS",Absensi!$D$2:$ND$2,W$6)</f>
        <v>0</v>
      </c>
      <c r="X110">
        <f>COUNTIFS(Absensi!$D108:$ND108,"CS",Absensi!$D$2:$ND$2,X$6)</f>
        <v>0</v>
      </c>
      <c r="Y110">
        <f>COUNTIFS(Absensi!$D108:$ND108,"CS",Absensi!$D$2:$ND$2,Y$6)</f>
        <v>0</v>
      </c>
      <c r="Z110">
        <f>COUNTIFS(Absensi!$D108:$ND108,"CS",Absensi!$D$2:$ND$2,Z$6)</f>
        <v>0</v>
      </c>
      <c r="AA110">
        <f>COUNTIFS(Absensi!$D108:$ND108,"CS",Absensi!$D$2:$ND$2,AA$6)</f>
        <v>0</v>
      </c>
      <c r="AB110">
        <f>COUNTIFS(Absensi!$D108:$ND108,"CS",Absensi!$D$2:$ND$2,AB$6)</f>
        <v>0</v>
      </c>
      <c r="AC110">
        <f t="shared" si="14"/>
        <v>12</v>
      </c>
      <c r="AD110">
        <f t="shared" si="15"/>
        <v>12</v>
      </c>
      <c r="AE110">
        <f t="shared" si="16"/>
        <v>12</v>
      </c>
      <c r="AF110">
        <f t="shared" si="17"/>
        <v>10</v>
      </c>
      <c r="AG110">
        <f t="shared" si="18"/>
        <v>9</v>
      </c>
      <c r="AH110">
        <f t="shared" si="19"/>
        <v>9</v>
      </c>
      <c r="AI110">
        <f t="shared" si="20"/>
        <v>9</v>
      </c>
      <c r="AJ110">
        <f t="shared" si="21"/>
        <v>9</v>
      </c>
      <c r="AK110">
        <f t="shared" si="22"/>
        <v>9</v>
      </c>
      <c r="AL110">
        <f t="shared" si="23"/>
        <v>9</v>
      </c>
      <c r="AM110">
        <f t="shared" si="24"/>
        <v>9</v>
      </c>
      <c r="AN110">
        <f t="shared" si="25"/>
        <v>9</v>
      </c>
    </row>
    <row r="111" spans="1:40" x14ac:dyDescent="0.25">
      <c r="A111" s="26">
        <v>105</v>
      </c>
      <c r="B111" s="27" t="str">
        <f>Absensi!B109</f>
        <v>Kebayoran Lama</v>
      </c>
      <c r="C111" s="27" t="str">
        <f>Rekap!C111</f>
        <v>Tri saraswati</v>
      </c>
      <c r="D111" s="46" t="str">
        <f t="shared" si="26"/>
        <v>Kebayoran LamaTri saraswati</v>
      </c>
      <c r="E111">
        <f>COUNTIFS(Absensi!$D109:$ND109,"C",Absensi!$D$2:$ND$2,E$6)</f>
        <v>0</v>
      </c>
      <c r="F111">
        <f>COUNTIFS(Absensi!$D109:$ND109,"C",Absensi!$D$2:$ND$2,F$6)</f>
        <v>1</v>
      </c>
      <c r="G111">
        <f>COUNTIFS(Absensi!$D109:$ND109,"C",Absensi!$D$2:$ND$2,G$6)</f>
        <v>0</v>
      </c>
      <c r="H111">
        <f>COUNTIFS(Absensi!$D109:$ND109,"C",Absensi!$D$2:$ND$2,H$6)</f>
        <v>0</v>
      </c>
      <c r="I111">
        <f>COUNTIFS(Absensi!$D109:$ND109,"C",Absensi!$D$2:$ND$2,I$6)</f>
        <v>0</v>
      </c>
      <c r="J111">
        <f>COUNTIFS(Absensi!$D109:$ND109,"C",Absensi!$D$2:$ND$2,J$6)</f>
        <v>0</v>
      </c>
      <c r="K111">
        <f>COUNTIFS(Absensi!$D109:$ND109,"C",Absensi!$D$2:$ND$2,K$6)</f>
        <v>1</v>
      </c>
      <c r="L111">
        <f>COUNTIFS(Absensi!$D109:$ND109,"C",Absensi!$D$2:$ND$2,L$6)</f>
        <v>0</v>
      </c>
      <c r="M111">
        <f>COUNTIFS(Absensi!$D109:$ND109,"C",Absensi!$D$2:$ND$2,M$6)</f>
        <v>0</v>
      </c>
      <c r="N111">
        <f>COUNTIFS(Absensi!$D109:$ND109,"C",Absensi!$D$2:$ND$2,N$6)</f>
        <v>0</v>
      </c>
      <c r="O111">
        <f>COUNTIFS(Absensi!$D109:$ND109,"C",Absensi!$D$2:$ND$2,O$6)</f>
        <v>0</v>
      </c>
      <c r="P111">
        <f>COUNTIFS(Absensi!$D109:$ND109,"C",Absensi!$D$2:$ND$2,P$6)</f>
        <v>0</v>
      </c>
      <c r="Q111">
        <f>COUNTIFS(Absensi!$D109:$ND109,"CS",Absensi!$D$2:$ND$2,Q$6)</f>
        <v>0</v>
      </c>
      <c r="R111">
        <f>COUNTIFS(Absensi!$D109:$ND109,"CS",Absensi!$D$2:$ND$2,R$6)</f>
        <v>0</v>
      </c>
      <c r="S111">
        <f>COUNTIFS(Absensi!$D109:$ND109,"CS",Absensi!$D$2:$ND$2,S$6)</f>
        <v>0</v>
      </c>
      <c r="T111">
        <f>COUNTIFS(Absensi!$D109:$ND109,"CS",Absensi!$D$2:$ND$2,T$6)</f>
        <v>0</v>
      </c>
      <c r="U111">
        <f>COUNTIFS(Absensi!$D109:$ND109,"CS",Absensi!$D$2:$ND$2,U$6)</f>
        <v>0</v>
      </c>
      <c r="V111">
        <f>COUNTIFS(Absensi!$D109:$ND109,"CS",Absensi!$D$2:$ND$2,V$6)</f>
        <v>1</v>
      </c>
      <c r="W111">
        <f>COUNTIFS(Absensi!$D109:$ND109,"CS",Absensi!$D$2:$ND$2,W$6)</f>
        <v>0</v>
      </c>
      <c r="X111">
        <f>COUNTIFS(Absensi!$D109:$ND109,"CS",Absensi!$D$2:$ND$2,X$6)</f>
        <v>0</v>
      </c>
      <c r="Y111">
        <f>COUNTIFS(Absensi!$D109:$ND109,"CS",Absensi!$D$2:$ND$2,Y$6)</f>
        <v>0</v>
      </c>
      <c r="Z111">
        <f>COUNTIFS(Absensi!$D109:$ND109,"CS",Absensi!$D$2:$ND$2,Z$6)</f>
        <v>0</v>
      </c>
      <c r="AA111">
        <f>COUNTIFS(Absensi!$D109:$ND109,"CS",Absensi!$D$2:$ND$2,AA$6)</f>
        <v>0</v>
      </c>
      <c r="AB111">
        <f>COUNTIFS(Absensi!$D109:$ND109,"CS",Absensi!$D$2:$ND$2,AB$6)</f>
        <v>0</v>
      </c>
      <c r="AC111">
        <f t="shared" si="14"/>
        <v>12</v>
      </c>
      <c r="AD111">
        <f t="shared" si="15"/>
        <v>11</v>
      </c>
      <c r="AE111">
        <f t="shared" si="16"/>
        <v>11</v>
      </c>
      <c r="AF111">
        <f t="shared" si="17"/>
        <v>11</v>
      </c>
      <c r="AG111">
        <f t="shared" si="18"/>
        <v>11</v>
      </c>
      <c r="AH111">
        <f t="shared" si="19"/>
        <v>10.5</v>
      </c>
      <c r="AI111">
        <f t="shared" si="20"/>
        <v>9.5</v>
      </c>
      <c r="AJ111">
        <f t="shared" si="21"/>
        <v>9.5</v>
      </c>
      <c r="AK111">
        <f t="shared" si="22"/>
        <v>9.5</v>
      </c>
      <c r="AL111">
        <f t="shared" si="23"/>
        <v>9.5</v>
      </c>
      <c r="AM111">
        <f t="shared" si="24"/>
        <v>9.5</v>
      </c>
      <c r="AN111">
        <f t="shared" si="25"/>
        <v>9.5</v>
      </c>
    </row>
    <row r="112" spans="1:40" ht="30" x14ac:dyDescent="0.25">
      <c r="A112" s="26">
        <v>106</v>
      </c>
      <c r="B112" s="27" t="str">
        <f>Absensi!B110</f>
        <v>Kebayoran Lama</v>
      </c>
      <c r="C112" s="27" t="str">
        <f>Rekap!C112</f>
        <v>Realita riandy</v>
      </c>
      <c r="D112" s="46" t="str">
        <f t="shared" si="26"/>
        <v>Kebayoran LamaRealita riandy</v>
      </c>
      <c r="E112">
        <f>COUNTIFS(Absensi!$D110:$ND110,"C",Absensi!$D$2:$ND$2,E$6)</f>
        <v>0</v>
      </c>
      <c r="F112">
        <f>COUNTIFS(Absensi!$D110:$ND110,"C",Absensi!$D$2:$ND$2,F$6)</f>
        <v>0</v>
      </c>
      <c r="G112">
        <f>COUNTIFS(Absensi!$D110:$ND110,"C",Absensi!$D$2:$ND$2,G$6)</f>
        <v>0</v>
      </c>
      <c r="H112">
        <f>COUNTIFS(Absensi!$D110:$ND110,"C",Absensi!$D$2:$ND$2,H$6)</f>
        <v>2</v>
      </c>
      <c r="I112">
        <f>COUNTIFS(Absensi!$D110:$ND110,"C",Absensi!$D$2:$ND$2,I$6)</f>
        <v>1</v>
      </c>
      <c r="J112">
        <f>COUNTIFS(Absensi!$D110:$ND110,"C",Absensi!$D$2:$ND$2,J$6)</f>
        <v>1</v>
      </c>
      <c r="K112">
        <f>COUNTIFS(Absensi!$D110:$ND110,"C",Absensi!$D$2:$ND$2,K$6)</f>
        <v>3</v>
      </c>
      <c r="L112">
        <f>COUNTIFS(Absensi!$D110:$ND110,"C",Absensi!$D$2:$ND$2,L$6)</f>
        <v>0</v>
      </c>
      <c r="M112">
        <f>COUNTIFS(Absensi!$D110:$ND110,"C",Absensi!$D$2:$ND$2,M$6)</f>
        <v>1</v>
      </c>
      <c r="N112">
        <f>COUNTIFS(Absensi!$D110:$ND110,"C",Absensi!$D$2:$ND$2,N$6)</f>
        <v>0</v>
      </c>
      <c r="O112">
        <f>COUNTIFS(Absensi!$D110:$ND110,"C",Absensi!$D$2:$ND$2,O$6)</f>
        <v>0</v>
      </c>
      <c r="P112">
        <f>COUNTIFS(Absensi!$D110:$ND110,"C",Absensi!$D$2:$ND$2,P$6)</f>
        <v>0</v>
      </c>
      <c r="Q112">
        <f>COUNTIFS(Absensi!$D110:$ND110,"CS",Absensi!$D$2:$ND$2,Q$6)</f>
        <v>0</v>
      </c>
      <c r="R112">
        <f>COUNTIFS(Absensi!$D110:$ND110,"CS",Absensi!$D$2:$ND$2,R$6)</f>
        <v>0</v>
      </c>
      <c r="S112">
        <f>COUNTIFS(Absensi!$D110:$ND110,"CS",Absensi!$D$2:$ND$2,S$6)</f>
        <v>0</v>
      </c>
      <c r="T112">
        <f>COUNTIFS(Absensi!$D110:$ND110,"CS",Absensi!$D$2:$ND$2,T$6)</f>
        <v>0</v>
      </c>
      <c r="U112">
        <f>COUNTIFS(Absensi!$D110:$ND110,"CS",Absensi!$D$2:$ND$2,U$6)</f>
        <v>0</v>
      </c>
      <c r="V112">
        <f>COUNTIFS(Absensi!$D110:$ND110,"CS",Absensi!$D$2:$ND$2,V$6)</f>
        <v>0</v>
      </c>
      <c r="W112">
        <f>COUNTIFS(Absensi!$D110:$ND110,"CS",Absensi!$D$2:$ND$2,W$6)</f>
        <v>0</v>
      </c>
      <c r="X112">
        <f>COUNTIFS(Absensi!$D110:$ND110,"CS",Absensi!$D$2:$ND$2,X$6)</f>
        <v>0</v>
      </c>
      <c r="Y112">
        <f>COUNTIFS(Absensi!$D110:$ND110,"CS",Absensi!$D$2:$ND$2,Y$6)</f>
        <v>0</v>
      </c>
      <c r="Z112">
        <f>COUNTIFS(Absensi!$D110:$ND110,"CS",Absensi!$D$2:$ND$2,Z$6)</f>
        <v>0</v>
      </c>
      <c r="AA112">
        <f>COUNTIFS(Absensi!$D110:$ND110,"CS",Absensi!$D$2:$ND$2,AA$6)</f>
        <v>0</v>
      </c>
      <c r="AB112">
        <f>COUNTIFS(Absensi!$D110:$ND110,"CS",Absensi!$D$2:$ND$2,AB$6)</f>
        <v>0</v>
      </c>
      <c r="AC112">
        <f t="shared" si="14"/>
        <v>12</v>
      </c>
      <c r="AD112">
        <f t="shared" si="15"/>
        <v>12</v>
      </c>
      <c r="AE112">
        <f t="shared" si="16"/>
        <v>12</v>
      </c>
      <c r="AF112">
        <f t="shared" si="17"/>
        <v>10</v>
      </c>
      <c r="AG112">
        <f t="shared" si="18"/>
        <v>9</v>
      </c>
      <c r="AH112">
        <f t="shared" si="19"/>
        <v>8</v>
      </c>
      <c r="AI112">
        <f t="shared" si="20"/>
        <v>5</v>
      </c>
      <c r="AJ112">
        <f t="shared" si="21"/>
        <v>5</v>
      </c>
      <c r="AK112">
        <f t="shared" si="22"/>
        <v>4</v>
      </c>
      <c r="AL112">
        <f t="shared" si="23"/>
        <v>4</v>
      </c>
      <c r="AM112">
        <f t="shared" si="24"/>
        <v>4</v>
      </c>
      <c r="AN112">
        <f t="shared" si="25"/>
        <v>4</v>
      </c>
    </row>
    <row r="113" spans="1:40" x14ac:dyDescent="0.25">
      <c r="A113" s="26">
        <v>107</v>
      </c>
      <c r="B113" s="27" t="str">
        <f>Absensi!B111</f>
        <v>Fishroom</v>
      </c>
      <c r="C113" s="27" t="str">
        <f>Rekap!C113</f>
        <v>Supandi</v>
      </c>
      <c r="D113" s="46" t="str">
        <f t="shared" si="26"/>
        <v>FishroomSupandi</v>
      </c>
      <c r="E113">
        <f>COUNTIFS(Absensi!$D111:$ND111,"C",Absensi!$D$2:$ND$2,E$6)</f>
        <v>2</v>
      </c>
      <c r="F113">
        <f>COUNTIFS(Absensi!$D111:$ND111,"C",Absensi!$D$2:$ND$2,F$6)</f>
        <v>3</v>
      </c>
      <c r="G113">
        <f>COUNTIFS(Absensi!$D111:$ND111,"C",Absensi!$D$2:$ND$2,G$6)</f>
        <v>1</v>
      </c>
      <c r="H113">
        <f>COUNTIFS(Absensi!$D111:$ND111,"C",Absensi!$D$2:$ND$2,H$6)</f>
        <v>8</v>
      </c>
      <c r="I113">
        <f>COUNTIFS(Absensi!$D111:$ND111,"C",Absensi!$D$2:$ND$2,I$6)</f>
        <v>13</v>
      </c>
      <c r="J113">
        <f>COUNTIFS(Absensi!$D111:$ND111,"C",Absensi!$D$2:$ND$2,J$6)</f>
        <v>0</v>
      </c>
      <c r="K113">
        <f>COUNTIFS(Absensi!$D111:$ND111,"C",Absensi!$D$2:$ND$2,K$6)</f>
        <v>0</v>
      </c>
      <c r="L113">
        <f>COUNTIFS(Absensi!$D111:$ND111,"C",Absensi!$D$2:$ND$2,L$6)</f>
        <v>0</v>
      </c>
      <c r="M113">
        <f>COUNTIFS(Absensi!$D111:$ND111,"C",Absensi!$D$2:$ND$2,M$6)</f>
        <v>0</v>
      </c>
      <c r="N113">
        <f>COUNTIFS(Absensi!$D111:$ND111,"C",Absensi!$D$2:$ND$2,N$6)</f>
        <v>0</v>
      </c>
      <c r="O113">
        <f>COUNTIFS(Absensi!$D111:$ND111,"C",Absensi!$D$2:$ND$2,O$6)</f>
        <v>0</v>
      </c>
      <c r="P113">
        <f>COUNTIFS(Absensi!$D111:$ND111,"C",Absensi!$D$2:$ND$2,P$6)</f>
        <v>0</v>
      </c>
      <c r="Q113">
        <f>COUNTIFS(Absensi!$D111:$ND111,"CS",Absensi!$D$2:$ND$2,Q$6)</f>
        <v>0</v>
      </c>
      <c r="R113">
        <f>COUNTIFS(Absensi!$D111:$ND111,"CS",Absensi!$D$2:$ND$2,R$6)</f>
        <v>0</v>
      </c>
      <c r="S113">
        <f>COUNTIFS(Absensi!$D111:$ND111,"CS",Absensi!$D$2:$ND$2,S$6)</f>
        <v>0</v>
      </c>
      <c r="T113">
        <f>COUNTIFS(Absensi!$D111:$ND111,"CS",Absensi!$D$2:$ND$2,T$6)</f>
        <v>0</v>
      </c>
      <c r="U113">
        <f>COUNTIFS(Absensi!$D111:$ND111,"CS",Absensi!$D$2:$ND$2,U$6)</f>
        <v>0</v>
      </c>
      <c r="V113">
        <f>COUNTIFS(Absensi!$D111:$ND111,"CS",Absensi!$D$2:$ND$2,V$6)</f>
        <v>0</v>
      </c>
      <c r="W113">
        <f>COUNTIFS(Absensi!$D111:$ND111,"CS",Absensi!$D$2:$ND$2,W$6)</f>
        <v>0</v>
      </c>
      <c r="X113">
        <f>COUNTIFS(Absensi!$D111:$ND111,"CS",Absensi!$D$2:$ND$2,X$6)</f>
        <v>0</v>
      </c>
      <c r="Y113">
        <f>COUNTIFS(Absensi!$D111:$ND111,"CS",Absensi!$D$2:$ND$2,Y$6)</f>
        <v>0</v>
      </c>
      <c r="Z113">
        <f>COUNTIFS(Absensi!$D111:$ND111,"CS",Absensi!$D$2:$ND$2,Z$6)</f>
        <v>0</v>
      </c>
      <c r="AA113">
        <f>COUNTIFS(Absensi!$D111:$ND111,"CS",Absensi!$D$2:$ND$2,AA$6)</f>
        <v>0</v>
      </c>
      <c r="AB113">
        <f>COUNTIFS(Absensi!$D111:$ND111,"CS",Absensi!$D$2:$ND$2,AB$6)</f>
        <v>0</v>
      </c>
      <c r="AC113">
        <f t="shared" si="14"/>
        <v>10</v>
      </c>
      <c r="AD113">
        <f t="shared" si="15"/>
        <v>7</v>
      </c>
      <c r="AE113">
        <f t="shared" si="16"/>
        <v>6</v>
      </c>
      <c r="AF113">
        <f t="shared" si="17"/>
        <v>-2</v>
      </c>
      <c r="AG113">
        <f t="shared" si="18"/>
        <v>-15</v>
      </c>
      <c r="AH113">
        <f t="shared" si="19"/>
        <v>-15</v>
      </c>
      <c r="AI113">
        <f t="shared" si="20"/>
        <v>-15</v>
      </c>
      <c r="AJ113">
        <f t="shared" si="21"/>
        <v>-15</v>
      </c>
      <c r="AK113">
        <f t="shared" si="22"/>
        <v>-15</v>
      </c>
      <c r="AL113">
        <f t="shared" si="23"/>
        <v>-15</v>
      </c>
      <c r="AM113">
        <f t="shared" si="24"/>
        <v>-15</v>
      </c>
      <c r="AN113">
        <f t="shared" si="25"/>
        <v>-15</v>
      </c>
    </row>
    <row r="114" spans="1:40" ht="30" x14ac:dyDescent="0.25">
      <c r="A114" s="26">
        <v>108</v>
      </c>
      <c r="B114" s="27" t="str">
        <f>Absensi!B112</f>
        <v>Kebayoran Lama</v>
      </c>
      <c r="C114" s="27" t="str">
        <f>Rekap!C114</f>
        <v>Dedi Cahyanto</v>
      </c>
      <c r="D114" s="46" t="str">
        <f t="shared" si="26"/>
        <v>Kebayoran LamaDedi Cahyanto</v>
      </c>
      <c r="E114">
        <f>COUNTIFS(Absensi!$D112:$ND112,"C",Absensi!$D$2:$ND$2,E$6)</f>
        <v>0</v>
      </c>
      <c r="F114">
        <f>COUNTIFS(Absensi!$D112:$ND112,"C",Absensi!$D$2:$ND$2,F$6)</f>
        <v>0</v>
      </c>
      <c r="G114">
        <f>COUNTIFS(Absensi!$D112:$ND112,"C",Absensi!$D$2:$ND$2,G$6)</f>
        <v>0</v>
      </c>
      <c r="H114">
        <f>COUNTIFS(Absensi!$D112:$ND112,"C",Absensi!$D$2:$ND$2,H$6)</f>
        <v>0</v>
      </c>
      <c r="I114">
        <f>COUNTIFS(Absensi!$D112:$ND112,"C",Absensi!$D$2:$ND$2,I$6)</f>
        <v>0</v>
      </c>
      <c r="J114">
        <f>COUNTIFS(Absensi!$D112:$ND112,"C",Absensi!$D$2:$ND$2,J$6)</f>
        <v>4</v>
      </c>
      <c r="K114">
        <f>COUNTIFS(Absensi!$D112:$ND112,"C",Absensi!$D$2:$ND$2,K$6)</f>
        <v>0</v>
      </c>
      <c r="L114">
        <f>COUNTIFS(Absensi!$D112:$ND112,"C",Absensi!$D$2:$ND$2,L$6)</f>
        <v>0</v>
      </c>
      <c r="M114">
        <f>COUNTIFS(Absensi!$D112:$ND112,"C",Absensi!$D$2:$ND$2,M$6)</f>
        <v>0</v>
      </c>
      <c r="N114">
        <f>COUNTIFS(Absensi!$D112:$ND112,"C",Absensi!$D$2:$ND$2,N$6)</f>
        <v>0</v>
      </c>
      <c r="O114">
        <f>COUNTIFS(Absensi!$D112:$ND112,"C",Absensi!$D$2:$ND$2,O$6)</f>
        <v>0</v>
      </c>
      <c r="P114">
        <f>COUNTIFS(Absensi!$D112:$ND112,"C",Absensi!$D$2:$ND$2,P$6)</f>
        <v>0</v>
      </c>
      <c r="Q114">
        <f>COUNTIFS(Absensi!$D112:$ND112,"CS",Absensi!$D$2:$ND$2,Q$6)</f>
        <v>0</v>
      </c>
      <c r="R114">
        <f>COUNTIFS(Absensi!$D112:$ND112,"CS",Absensi!$D$2:$ND$2,R$6)</f>
        <v>0</v>
      </c>
      <c r="S114">
        <f>COUNTIFS(Absensi!$D112:$ND112,"CS",Absensi!$D$2:$ND$2,S$6)</f>
        <v>0</v>
      </c>
      <c r="T114">
        <f>COUNTIFS(Absensi!$D112:$ND112,"CS",Absensi!$D$2:$ND$2,T$6)</f>
        <v>0</v>
      </c>
      <c r="U114">
        <f>COUNTIFS(Absensi!$D112:$ND112,"CS",Absensi!$D$2:$ND$2,U$6)</f>
        <v>0</v>
      </c>
      <c r="V114">
        <f>COUNTIFS(Absensi!$D112:$ND112,"CS",Absensi!$D$2:$ND$2,V$6)</f>
        <v>0</v>
      </c>
      <c r="W114">
        <f>COUNTIFS(Absensi!$D112:$ND112,"CS",Absensi!$D$2:$ND$2,W$6)</f>
        <v>0</v>
      </c>
      <c r="X114">
        <f>COUNTIFS(Absensi!$D112:$ND112,"CS",Absensi!$D$2:$ND$2,X$6)</f>
        <v>0</v>
      </c>
      <c r="Y114">
        <f>COUNTIFS(Absensi!$D112:$ND112,"CS",Absensi!$D$2:$ND$2,Y$6)</f>
        <v>0</v>
      </c>
      <c r="Z114">
        <f>COUNTIFS(Absensi!$D112:$ND112,"CS",Absensi!$D$2:$ND$2,Z$6)</f>
        <v>0</v>
      </c>
      <c r="AA114">
        <f>COUNTIFS(Absensi!$D112:$ND112,"CS",Absensi!$D$2:$ND$2,AA$6)</f>
        <v>0</v>
      </c>
      <c r="AB114">
        <f>COUNTIFS(Absensi!$D112:$ND112,"CS",Absensi!$D$2:$ND$2,AB$6)</f>
        <v>0</v>
      </c>
      <c r="AC114">
        <f t="shared" si="14"/>
        <v>12</v>
      </c>
      <c r="AD114">
        <f t="shared" si="15"/>
        <v>12</v>
      </c>
      <c r="AE114">
        <f t="shared" si="16"/>
        <v>12</v>
      </c>
      <c r="AF114">
        <f t="shared" si="17"/>
        <v>12</v>
      </c>
      <c r="AG114">
        <f t="shared" si="18"/>
        <v>12</v>
      </c>
      <c r="AH114">
        <f t="shared" si="19"/>
        <v>8</v>
      </c>
      <c r="AI114">
        <f t="shared" si="20"/>
        <v>8</v>
      </c>
      <c r="AJ114">
        <f t="shared" si="21"/>
        <v>8</v>
      </c>
      <c r="AK114">
        <f t="shared" si="22"/>
        <v>8</v>
      </c>
      <c r="AL114">
        <f t="shared" si="23"/>
        <v>8</v>
      </c>
      <c r="AM114">
        <f t="shared" si="24"/>
        <v>8</v>
      </c>
      <c r="AN114">
        <f t="shared" si="25"/>
        <v>8</v>
      </c>
    </row>
    <row r="115" spans="1:40" ht="30" x14ac:dyDescent="0.25">
      <c r="A115" s="26">
        <v>109</v>
      </c>
      <c r="B115" s="27" t="str">
        <f>Absensi!B113</f>
        <v>Kebayoran Lama</v>
      </c>
      <c r="C115" s="27" t="str">
        <f>Rekap!C115</f>
        <v>Yulita Fajarini</v>
      </c>
      <c r="D115" s="46" t="str">
        <f t="shared" si="26"/>
        <v>Kebayoran LamaYulita Fajarini</v>
      </c>
      <c r="E115">
        <f>COUNTIFS(Absensi!$D113:$ND113,"C",Absensi!$D$2:$ND$2,E$6)</f>
        <v>0</v>
      </c>
      <c r="F115">
        <f>COUNTIFS(Absensi!$D113:$ND113,"C",Absensi!$D$2:$ND$2,F$6)</f>
        <v>0</v>
      </c>
      <c r="G115">
        <f>COUNTIFS(Absensi!$D113:$ND113,"C",Absensi!$D$2:$ND$2,G$6)</f>
        <v>0</v>
      </c>
      <c r="H115">
        <f>COUNTIFS(Absensi!$D113:$ND113,"C",Absensi!$D$2:$ND$2,H$6)</f>
        <v>0</v>
      </c>
      <c r="I115">
        <f>COUNTIFS(Absensi!$D113:$ND113,"C",Absensi!$D$2:$ND$2,I$6)</f>
        <v>0</v>
      </c>
      <c r="J115">
        <f>COUNTIFS(Absensi!$D113:$ND113,"C",Absensi!$D$2:$ND$2,J$6)</f>
        <v>2</v>
      </c>
      <c r="K115">
        <f>COUNTIFS(Absensi!$D113:$ND113,"C",Absensi!$D$2:$ND$2,K$6)</f>
        <v>1</v>
      </c>
      <c r="L115">
        <f>COUNTIFS(Absensi!$D113:$ND113,"C",Absensi!$D$2:$ND$2,L$6)</f>
        <v>0</v>
      </c>
      <c r="M115">
        <f>COUNTIFS(Absensi!$D113:$ND113,"C",Absensi!$D$2:$ND$2,M$6)</f>
        <v>0</v>
      </c>
      <c r="N115">
        <f>COUNTIFS(Absensi!$D113:$ND113,"C",Absensi!$D$2:$ND$2,N$6)</f>
        <v>0</v>
      </c>
      <c r="O115">
        <f>COUNTIFS(Absensi!$D113:$ND113,"C",Absensi!$D$2:$ND$2,O$6)</f>
        <v>0</v>
      </c>
      <c r="P115">
        <f>COUNTIFS(Absensi!$D113:$ND113,"C",Absensi!$D$2:$ND$2,P$6)</f>
        <v>0</v>
      </c>
      <c r="Q115">
        <f>COUNTIFS(Absensi!$D113:$ND113,"CS",Absensi!$D$2:$ND$2,Q$6)</f>
        <v>0</v>
      </c>
      <c r="R115">
        <f>COUNTIFS(Absensi!$D113:$ND113,"CS",Absensi!$D$2:$ND$2,R$6)</f>
        <v>0</v>
      </c>
      <c r="S115">
        <f>COUNTIFS(Absensi!$D113:$ND113,"CS",Absensi!$D$2:$ND$2,S$6)</f>
        <v>0</v>
      </c>
      <c r="T115">
        <f>COUNTIFS(Absensi!$D113:$ND113,"CS",Absensi!$D$2:$ND$2,T$6)</f>
        <v>0</v>
      </c>
      <c r="U115">
        <f>COUNTIFS(Absensi!$D113:$ND113,"CS",Absensi!$D$2:$ND$2,U$6)</f>
        <v>0</v>
      </c>
      <c r="V115">
        <f>COUNTIFS(Absensi!$D113:$ND113,"CS",Absensi!$D$2:$ND$2,V$6)</f>
        <v>0</v>
      </c>
      <c r="W115">
        <f>COUNTIFS(Absensi!$D113:$ND113,"CS",Absensi!$D$2:$ND$2,W$6)</f>
        <v>0</v>
      </c>
      <c r="X115">
        <f>COUNTIFS(Absensi!$D113:$ND113,"CS",Absensi!$D$2:$ND$2,X$6)</f>
        <v>0</v>
      </c>
      <c r="Y115">
        <f>COUNTIFS(Absensi!$D113:$ND113,"CS",Absensi!$D$2:$ND$2,Y$6)</f>
        <v>0</v>
      </c>
      <c r="Z115">
        <f>COUNTIFS(Absensi!$D113:$ND113,"CS",Absensi!$D$2:$ND$2,Z$6)</f>
        <v>0</v>
      </c>
      <c r="AA115">
        <f>COUNTIFS(Absensi!$D113:$ND113,"CS",Absensi!$D$2:$ND$2,AA$6)</f>
        <v>0</v>
      </c>
      <c r="AB115">
        <f>COUNTIFS(Absensi!$D113:$ND113,"CS",Absensi!$D$2:$ND$2,AB$6)</f>
        <v>0</v>
      </c>
      <c r="AC115">
        <f t="shared" si="14"/>
        <v>12</v>
      </c>
      <c r="AD115">
        <f t="shared" si="15"/>
        <v>12</v>
      </c>
      <c r="AE115">
        <f t="shared" si="16"/>
        <v>12</v>
      </c>
      <c r="AF115">
        <f t="shared" si="17"/>
        <v>12</v>
      </c>
      <c r="AG115">
        <f t="shared" si="18"/>
        <v>12</v>
      </c>
      <c r="AH115">
        <f t="shared" si="19"/>
        <v>10</v>
      </c>
      <c r="AI115">
        <f t="shared" si="20"/>
        <v>9</v>
      </c>
      <c r="AJ115">
        <f t="shared" si="21"/>
        <v>9</v>
      </c>
      <c r="AK115">
        <f t="shared" si="22"/>
        <v>9</v>
      </c>
      <c r="AL115">
        <f t="shared" si="23"/>
        <v>9</v>
      </c>
      <c r="AM115">
        <f t="shared" si="24"/>
        <v>9</v>
      </c>
      <c r="AN115">
        <f t="shared" si="25"/>
        <v>9</v>
      </c>
    </row>
    <row r="116" spans="1:40" ht="30" x14ac:dyDescent="0.25">
      <c r="A116" s="26">
        <v>110</v>
      </c>
      <c r="B116" s="27" t="str">
        <f>Absensi!B114</f>
        <v>Kebayoran Lama</v>
      </c>
      <c r="C116" s="27" t="str">
        <f>Rekap!C116</f>
        <v>Heru Yanuarto</v>
      </c>
      <c r="D116" s="46" t="str">
        <f t="shared" si="26"/>
        <v>Kebayoran LamaHeru Yanuarto</v>
      </c>
      <c r="E116">
        <f>COUNTIFS(Absensi!$D114:$ND114,"C",Absensi!$D$2:$ND$2,E$6)</f>
        <v>0</v>
      </c>
      <c r="F116">
        <f>COUNTIFS(Absensi!$D114:$ND114,"C",Absensi!$D$2:$ND$2,F$6)</f>
        <v>0</v>
      </c>
      <c r="G116">
        <f>COUNTIFS(Absensi!$D114:$ND114,"C",Absensi!$D$2:$ND$2,G$6)</f>
        <v>3</v>
      </c>
      <c r="H116">
        <f>COUNTIFS(Absensi!$D114:$ND114,"C",Absensi!$D$2:$ND$2,H$6)</f>
        <v>1</v>
      </c>
      <c r="I116">
        <f>COUNTIFS(Absensi!$D114:$ND114,"C",Absensi!$D$2:$ND$2,I$6)</f>
        <v>0</v>
      </c>
      <c r="J116">
        <f>COUNTIFS(Absensi!$D114:$ND114,"C",Absensi!$D$2:$ND$2,J$6)</f>
        <v>0</v>
      </c>
      <c r="K116">
        <f>COUNTIFS(Absensi!$D114:$ND114,"C",Absensi!$D$2:$ND$2,K$6)</f>
        <v>2</v>
      </c>
      <c r="L116">
        <f>COUNTIFS(Absensi!$D114:$ND114,"C",Absensi!$D$2:$ND$2,L$6)</f>
        <v>2</v>
      </c>
      <c r="M116">
        <f>COUNTIFS(Absensi!$D114:$ND114,"C",Absensi!$D$2:$ND$2,M$6)</f>
        <v>0</v>
      </c>
      <c r="N116">
        <f>COUNTIFS(Absensi!$D114:$ND114,"C",Absensi!$D$2:$ND$2,N$6)</f>
        <v>0</v>
      </c>
      <c r="O116">
        <f>COUNTIFS(Absensi!$D114:$ND114,"C",Absensi!$D$2:$ND$2,O$6)</f>
        <v>0</v>
      </c>
      <c r="P116">
        <f>COUNTIFS(Absensi!$D114:$ND114,"C",Absensi!$D$2:$ND$2,P$6)</f>
        <v>0</v>
      </c>
      <c r="Q116">
        <f>COUNTIFS(Absensi!$D114:$ND114,"CS",Absensi!$D$2:$ND$2,Q$6)</f>
        <v>0</v>
      </c>
      <c r="R116">
        <f>COUNTIFS(Absensi!$D114:$ND114,"CS",Absensi!$D$2:$ND$2,R$6)</f>
        <v>0</v>
      </c>
      <c r="S116">
        <f>COUNTIFS(Absensi!$D114:$ND114,"CS",Absensi!$D$2:$ND$2,S$6)</f>
        <v>0</v>
      </c>
      <c r="T116">
        <f>COUNTIFS(Absensi!$D114:$ND114,"CS",Absensi!$D$2:$ND$2,T$6)</f>
        <v>0</v>
      </c>
      <c r="U116">
        <f>COUNTIFS(Absensi!$D114:$ND114,"CS",Absensi!$D$2:$ND$2,U$6)</f>
        <v>0</v>
      </c>
      <c r="V116">
        <f>COUNTIFS(Absensi!$D114:$ND114,"CS",Absensi!$D$2:$ND$2,V$6)</f>
        <v>0</v>
      </c>
      <c r="W116">
        <f>COUNTIFS(Absensi!$D114:$ND114,"CS",Absensi!$D$2:$ND$2,W$6)</f>
        <v>0</v>
      </c>
      <c r="X116">
        <f>COUNTIFS(Absensi!$D114:$ND114,"CS",Absensi!$D$2:$ND$2,X$6)</f>
        <v>0</v>
      </c>
      <c r="Y116">
        <f>COUNTIFS(Absensi!$D114:$ND114,"CS",Absensi!$D$2:$ND$2,Y$6)</f>
        <v>0</v>
      </c>
      <c r="Z116">
        <f>COUNTIFS(Absensi!$D114:$ND114,"CS",Absensi!$D$2:$ND$2,Z$6)</f>
        <v>0</v>
      </c>
      <c r="AA116">
        <f>COUNTIFS(Absensi!$D114:$ND114,"CS",Absensi!$D$2:$ND$2,AA$6)</f>
        <v>0</v>
      </c>
      <c r="AB116">
        <f>COUNTIFS(Absensi!$D114:$ND114,"CS",Absensi!$D$2:$ND$2,AB$6)</f>
        <v>0</v>
      </c>
      <c r="AC116">
        <f t="shared" si="14"/>
        <v>12</v>
      </c>
      <c r="AD116">
        <f t="shared" si="15"/>
        <v>12</v>
      </c>
      <c r="AE116">
        <f t="shared" si="16"/>
        <v>9</v>
      </c>
      <c r="AF116">
        <f t="shared" si="17"/>
        <v>8</v>
      </c>
      <c r="AG116">
        <f t="shared" si="18"/>
        <v>8</v>
      </c>
      <c r="AH116">
        <f t="shared" si="19"/>
        <v>8</v>
      </c>
      <c r="AI116">
        <f t="shared" si="20"/>
        <v>6</v>
      </c>
      <c r="AJ116">
        <f t="shared" si="21"/>
        <v>4</v>
      </c>
      <c r="AK116">
        <f t="shared" si="22"/>
        <v>4</v>
      </c>
      <c r="AL116">
        <f t="shared" si="23"/>
        <v>4</v>
      </c>
      <c r="AM116">
        <f t="shared" si="24"/>
        <v>4</v>
      </c>
      <c r="AN116">
        <f t="shared" si="25"/>
        <v>4</v>
      </c>
    </row>
    <row r="117" spans="1:40" ht="30" x14ac:dyDescent="0.25">
      <c r="A117" s="26">
        <v>111</v>
      </c>
      <c r="B117" s="27" t="str">
        <f>Absensi!B115</f>
        <v>Kebayoran Lama</v>
      </c>
      <c r="C117" s="27" t="str">
        <f>Rekap!C117</f>
        <v>Diki Mahendra</v>
      </c>
      <c r="D117" s="46" t="str">
        <f t="shared" si="26"/>
        <v>Kebayoran LamaDiki Mahendra</v>
      </c>
      <c r="E117">
        <f>COUNTIFS(Absensi!$D115:$ND115,"C",Absensi!$D$2:$ND$2,E$6)</f>
        <v>0</v>
      </c>
      <c r="F117">
        <f>COUNTIFS(Absensi!$D115:$ND115,"C",Absensi!$D$2:$ND$2,F$6)</f>
        <v>0</v>
      </c>
      <c r="G117">
        <f>COUNTIFS(Absensi!$D115:$ND115,"C",Absensi!$D$2:$ND$2,G$6)</f>
        <v>0</v>
      </c>
      <c r="H117">
        <f>COUNTIFS(Absensi!$D115:$ND115,"C",Absensi!$D$2:$ND$2,H$6)</f>
        <v>1</v>
      </c>
      <c r="I117">
        <f>COUNTIFS(Absensi!$D115:$ND115,"C",Absensi!$D$2:$ND$2,I$6)</f>
        <v>0</v>
      </c>
      <c r="J117">
        <f>COUNTIFS(Absensi!$D115:$ND115,"C",Absensi!$D$2:$ND$2,J$6)</f>
        <v>0</v>
      </c>
      <c r="K117">
        <f>COUNTIFS(Absensi!$D115:$ND115,"C",Absensi!$D$2:$ND$2,K$6)</f>
        <v>3</v>
      </c>
      <c r="L117">
        <f>COUNTIFS(Absensi!$D115:$ND115,"C",Absensi!$D$2:$ND$2,L$6)</f>
        <v>0</v>
      </c>
      <c r="M117">
        <f>COUNTIFS(Absensi!$D115:$ND115,"C",Absensi!$D$2:$ND$2,M$6)</f>
        <v>1</v>
      </c>
      <c r="N117">
        <f>COUNTIFS(Absensi!$D115:$ND115,"C",Absensi!$D$2:$ND$2,N$6)</f>
        <v>0</v>
      </c>
      <c r="O117">
        <f>COUNTIFS(Absensi!$D115:$ND115,"C",Absensi!$D$2:$ND$2,O$6)</f>
        <v>0</v>
      </c>
      <c r="P117">
        <f>COUNTIFS(Absensi!$D115:$ND115,"C",Absensi!$D$2:$ND$2,P$6)</f>
        <v>0</v>
      </c>
      <c r="Q117">
        <f>COUNTIFS(Absensi!$D115:$ND115,"CS",Absensi!$D$2:$ND$2,Q$6)</f>
        <v>0</v>
      </c>
      <c r="R117">
        <f>COUNTIFS(Absensi!$D115:$ND115,"CS",Absensi!$D$2:$ND$2,R$6)</f>
        <v>0</v>
      </c>
      <c r="S117">
        <f>COUNTIFS(Absensi!$D115:$ND115,"CS",Absensi!$D$2:$ND$2,S$6)</f>
        <v>0</v>
      </c>
      <c r="T117">
        <f>COUNTIFS(Absensi!$D115:$ND115,"CS",Absensi!$D$2:$ND$2,T$6)</f>
        <v>0</v>
      </c>
      <c r="U117">
        <f>COUNTIFS(Absensi!$D115:$ND115,"CS",Absensi!$D$2:$ND$2,U$6)</f>
        <v>0</v>
      </c>
      <c r="V117">
        <f>COUNTIFS(Absensi!$D115:$ND115,"CS",Absensi!$D$2:$ND$2,V$6)</f>
        <v>0</v>
      </c>
      <c r="W117">
        <f>COUNTIFS(Absensi!$D115:$ND115,"CS",Absensi!$D$2:$ND$2,W$6)</f>
        <v>0</v>
      </c>
      <c r="X117">
        <f>COUNTIFS(Absensi!$D115:$ND115,"CS",Absensi!$D$2:$ND$2,X$6)</f>
        <v>0</v>
      </c>
      <c r="Y117">
        <f>COUNTIFS(Absensi!$D115:$ND115,"CS",Absensi!$D$2:$ND$2,Y$6)</f>
        <v>0</v>
      </c>
      <c r="Z117">
        <f>COUNTIFS(Absensi!$D115:$ND115,"CS",Absensi!$D$2:$ND$2,Z$6)</f>
        <v>0</v>
      </c>
      <c r="AA117">
        <f>COUNTIFS(Absensi!$D115:$ND115,"CS",Absensi!$D$2:$ND$2,AA$6)</f>
        <v>0</v>
      </c>
      <c r="AB117">
        <f>COUNTIFS(Absensi!$D115:$ND115,"CS",Absensi!$D$2:$ND$2,AB$6)</f>
        <v>0</v>
      </c>
      <c r="AC117">
        <f t="shared" si="14"/>
        <v>12</v>
      </c>
      <c r="AD117">
        <f t="shared" si="15"/>
        <v>12</v>
      </c>
      <c r="AE117">
        <f t="shared" si="16"/>
        <v>12</v>
      </c>
      <c r="AF117">
        <f t="shared" si="17"/>
        <v>11</v>
      </c>
      <c r="AG117">
        <f t="shared" si="18"/>
        <v>11</v>
      </c>
      <c r="AH117">
        <f t="shared" si="19"/>
        <v>11</v>
      </c>
      <c r="AI117">
        <f t="shared" si="20"/>
        <v>8</v>
      </c>
      <c r="AJ117">
        <f t="shared" si="21"/>
        <v>8</v>
      </c>
      <c r="AK117">
        <f t="shared" si="22"/>
        <v>7</v>
      </c>
      <c r="AL117">
        <f t="shared" si="23"/>
        <v>7</v>
      </c>
      <c r="AM117">
        <f t="shared" si="24"/>
        <v>7</v>
      </c>
      <c r="AN117">
        <f t="shared" si="25"/>
        <v>7</v>
      </c>
    </row>
    <row r="118" spans="1:40" x14ac:dyDescent="0.25">
      <c r="A118" s="26">
        <v>112</v>
      </c>
      <c r="B118" s="27" t="str">
        <f>Absensi!B116</f>
        <v>Kebayoran Lama</v>
      </c>
      <c r="C118" s="27" t="str">
        <f>Rekap!C118</f>
        <v>Harry</v>
      </c>
      <c r="D118" s="46" t="str">
        <f t="shared" si="26"/>
        <v>Kebayoran LamaHarry</v>
      </c>
      <c r="E118">
        <f>COUNTIFS(Absensi!$D116:$ND116,"C",Absensi!$D$2:$ND$2,E$6)</f>
        <v>0</v>
      </c>
      <c r="F118">
        <f>COUNTIFS(Absensi!$D116:$ND116,"C",Absensi!$D$2:$ND$2,F$6)</f>
        <v>0</v>
      </c>
      <c r="G118">
        <f>COUNTIFS(Absensi!$D116:$ND116,"C",Absensi!$D$2:$ND$2,G$6)</f>
        <v>0</v>
      </c>
      <c r="H118">
        <f>COUNTIFS(Absensi!$D116:$ND116,"C",Absensi!$D$2:$ND$2,H$6)</f>
        <v>0</v>
      </c>
      <c r="I118">
        <f>COUNTIFS(Absensi!$D116:$ND116,"C",Absensi!$D$2:$ND$2,I$6)</f>
        <v>2</v>
      </c>
      <c r="J118">
        <f>COUNTIFS(Absensi!$D116:$ND116,"C",Absensi!$D$2:$ND$2,J$6)</f>
        <v>0</v>
      </c>
      <c r="K118">
        <f>COUNTIFS(Absensi!$D116:$ND116,"C",Absensi!$D$2:$ND$2,K$6)</f>
        <v>0</v>
      </c>
      <c r="L118">
        <f>COUNTIFS(Absensi!$D116:$ND116,"C",Absensi!$D$2:$ND$2,L$6)</f>
        <v>0</v>
      </c>
      <c r="M118">
        <f>COUNTIFS(Absensi!$D116:$ND116,"C",Absensi!$D$2:$ND$2,M$6)</f>
        <v>1</v>
      </c>
      <c r="N118">
        <f>COUNTIFS(Absensi!$D116:$ND116,"C",Absensi!$D$2:$ND$2,N$6)</f>
        <v>1</v>
      </c>
      <c r="O118">
        <f>COUNTIFS(Absensi!$D116:$ND116,"C",Absensi!$D$2:$ND$2,O$6)</f>
        <v>0</v>
      </c>
      <c r="P118">
        <f>COUNTIFS(Absensi!$D116:$ND116,"C",Absensi!$D$2:$ND$2,P$6)</f>
        <v>0</v>
      </c>
      <c r="Q118">
        <f>COUNTIFS(Absensi!$D116:$ND116,"CS",Absensi!$D$2:$ND$2,Q$6)</f>
        <v>0</v>
      </c>
      <c r="R118">
        <f>COUNTIFS(Absensi!$D116:$ND116,"CS",Absensi!$D$2:$ND$2,R$6)</f>
        <v>0</v>
      </c>
      <c r="S118">
        <f>COUNTIFS(Absensi!$D116:$ND116,"CS",Absensi!$D$2:$ND$2,S$6)</f>
        <v>0</v>
      </c>
      <c r="T118">
        <f>COUNTIFS(Absensi!$D116:$ND116,"CS",Absensi!$D$2:$ND$2,T$6)</f>
        <v>0</v>
      </c>
      <c r="U118">
        <f>COUNTIFS(Absensi!$D116:$ND116,"CS",Absensi!$D$2:$ND$2,U$6)</f>
        <v>0</v>
      </c>
      <c r="V118">
        <f>COUNTIFS(Absensi!$D116:$ND116,"CS",Absensi!$D$2:$ND$2,V$6)</f>
        <v>0</v>
      </c>
      <c r="W118">
        <f>COUNTIFS(Absensi!$D116:$ND116,"CS",Absensi!$D$2:$ND$2,W$6)</f>
        <v>0</v>
      </c>
      <c r="X118">
        <f>COUNTIFS(Absensi!$D116:$ND116,"CS",Absensi!$D$2:$ND$2,X$6)</f>
        <v>0</v>
      </c>
      <c r="Y118">
        <f>COUNTIFS(Absensi!$D116:$ND116,"CS",Absensi!$D$2:$ND$2,Y$6)</f>
        <v>0</v>
      </c>
      <c r="Z118">
        <f>COUNTIFS(Absensi!$D116:$ND116,"CS",Absensi!$D$2:$ND$2,Z$6)</f>
        <v>0</v>
      </c>
      <c r="AA118">
        <f>COUNTIFS(Absensi!$D116:$ND116,"CS",Absensi!$D$2:$ND$2,AA$6)</f>
        <v>0</v>
      </c>
      <c r="AB118">
        <f>COUNTIFS(Absensi!$D116:$ND116,"CS",Absensi!$D$2:$ND$2,AB$6)</f>
        <v>0</v>
      </c>
      <c r="AC118">
        <f t="shared" si="14"/>
        <v>12</v>
      </c>
      <c r="AD118">
        <f t="shared" si="15"/>
        <v>12</v>
      </c>
      <c r="AE118">
        <f t="shared" si="16"/>
        <v>12</v>
      </c>
      <c r="AF118">
        <f t="shared" si="17"/>
        <v>12</v>
      </c>
      <c r="AG118">
        <f t="shared" si="18"/>
        <v>10</v>
      </c>
      <c r="AH118">
        <f t="shared" si="19"/>
        <v>10</v>
      </c>
      <c r="AI118">
        <f t="shared" si="20"/>
        <v>10</v>
      </c>
      <c r="AJ118">
        <f t="shared" si="21"/>
        <v>10</v>
      </c>
      <c r="AK118">
        <f t="shared" si="22"/>
        <v>9</v>
      </c>
      <c r="AL118">
        <f t="shared" si="23"/>
        <v>8</v>
      </c>
      <c r="AM118">
        <f t="shared" si="24"/>
        <v>8</v>
      </c>
      <c r="AN118">
        <f t="shared" si="25"/>
        <v>8</v>
      </c>
    </row>
    <row r="119" spans="1:40" ht="30" x14ac:dyDescent="0.25">
      <c r="A119" s="26">
        <v>113</v>
      </c>
      <c r="B119" s="27" t="str">
        <f>Absensi!B117</f>
        <v>Kebayoran Lama</v>
      </c>
      <c r="C119" s="27" t="str">
        <f>Rekap!C119</f>
        <v>Shella Septiyadis</v>
      </c>
      <c r="D119" s="46" t="str">
        <f t="shared" si="26"/>
        <v>Kebayoran LamaShella Septiyadis</v>
      </c>
      <c r="E119">
        <f>COUNTIFS(Absensi!$D117:$ND117,"C",Absensi!$D$2:$ND$2,E$6)</f>
        <v>0</v>
      </c>
      <c r="F119">
        <f>COUNTIFS(Absensi!$D117:$ND117,"C",Absensi!$D$2:$ND$2,F$6)</f>
        <v>0</v>
      </c>
      <c r="G119">
        <f>COUNTIFS(Absensi!$D117:$ND117,"C",Absensi!$D$2:$ND$2,G$6)</f>
        <v>0</v>
      </c>
      <c r="H119">
        <f>COUNTIFS(Absensi!$D117:$ND117,"C",Absensi!$D$2:$ND$2,H$6)</f>
        <v>0</v>
      </c>
      <c r="I119">
        <f>COUNTIFS(Absensi!$D117:$ND117,"C",Absensi!$D$2:$ND$2,I$6)</f>
        <v>0</v>
      </c>
      <c r="J119">
        <f>COUNTIFS(Absensi!$D117:$ND117,"C",Absensi!$D$2:$ND$2,J$6)</f>
        <v>2</v>
      </c>
      <c r="K119">
        <f>COUNTIFS(Absensi!$D117:$ND117,"C",Absensi!$D$2:$ND$2,K$6)</f>
        <v>0</v>
      </c>
      <c r="L119">
        <f>COUNTIFS(Absensi!$D117:$ND117,"C",Absensi!$D$2:$ND$2,L$6)</f>
        <v>0</v>
      </c>
      <c r="M119">
        <f>COUNTIFS(Absensi!$D117:$ND117,"C",Absensi!$D$2:$ND$2,M$6)</f>
        <v>0</v>
      </c>
      <c r="N119">
        <f>COUNTIFS(Absensi!$D117:$ND117,"C",Absensi!$D$2:$ND$2,N$6)</f>
        <v>0</v>
      </c>
      <c r="O119">
        <f>COUNTIFS(Absensi!$D117:$ND117,"C",Absensi!$D$2:$ND$2,O$6)</f>
        <v>0</v>
      </c>
      <c r="P119">
        <f>COUNTIFS(Absensi!$D117:$ND117,"C",Absensi!$D$2:$ND$2,P$6)</f>
        <v>0</v>
      </c>
      <c r="Q119">
        <f>COUNTIFS(Absensi!$D117:$ND117,"CS",Absensi!$D$2:$ND$2,Q$6)</f>
        <v>0</v>
      </c>
      <c r="R119">
        <f>COUNTIFS(Absensi!$D117:$ND117,"CS",Absensi!$D$2:$ND$2,R$6)</f>
        <v>0</v>
      </c>
      <c r="S119">
        <f>COUNTIFS(Absensi!$D117:$ND117,"CS",Absensi!$D$2:$ND$2,S$6)</f>
        <v>0</v>
      </c>
      <c r="T119">
        <f>COUNTIFS(Absensi!$D117:$ND117,"CS",Absensi!$D$2:$ND$2,T$6)</f>
        <v>0</v>
      </c>
      <c r="U119">
        <f>COUNTIFS(Absensi!$D117:$ND117,"CS",Absensi!$D$2:$ND$2,U$6)</f>
        <v>0</v>
      </c>
      <c r="V119">
        <f>COUNTIFS(Absensi!$D117:$ND117,"CS",Absensi!$D$2:$ND$2,V$6)</f>
        <v>0</v>
      </c>
      <c r="W119">
        <f>COUNTIFS(Absensi!$D117:$ND117,"CS",Absensi!$D$2:$ND$2,W$6)</f>
        <v>0</v>
      </c>
      <c r="X119">
        <f>COUNTIFS(Absensi!$D117:$ND117,"CS",Absensi!$D$2:$ND$2,X$6)</f>
        <v>0</v>
      </c>
      <c r="Y119">
        <f>COUNTIFS(Absensi!$D117:$ND117,"CS",Absensi!$D$2:$ND$2,Y$6)</f>
        <v>0</v>
      </c>
      <c r="Z119">
        <f>COUNTIFS(Absensi!$D117:$ND117,"CS",Absensi!$D$2:$ND$2,Z$6)</f>
        <v>0</v>
      </c>
      <c r="AA119">
        <f>COUNTIFS(Absensi!$D117:$ND117,"CS",Absensi!$D$2:$ND$2,AA$6)</f>
        <v>0</v>
      </c>
      <c r="AB119">
        <f>COUNTIFS(Absensi!$D117:$ND117,"CS",Absensi!$D$2:$ND$2,AB$6)</f>
        <v>0</v>
      </c>
      <c r="AC119">
        <f t="shared" si="14"/>
        <v>12</v>
      </c>
      <c r="AD119">
        <f t="shared" si="15"/>
        <v>12</v>
      </c>
      <c r="AE119">
        <f t="shared" si="16"/>
        <v>12</v>
      </c>
      <c r="AF119">
        <f t="shared" si="17"/>
        <v>12</v>
      </c>
      <c r="AG119">
        <f t="shared" si="18"/>
        <v>12</v>
      </c>
      <c r="AH119">
        <f t="shared" si="19"/>
        <v>10</v>
      </c>
      <c r="AI119">
        <f t="shared" si="20"/>
        <v>10</v>
      </c>
      <c r="AJ119">
        <f t="shared" si="21"/>
        <v>10</v>
      </c>
      <c r="AK119">
        <f t="shared" si="22"/>
        <v>10</v>
      </c>
      <c r="AL119">
        <f t="shared" si="23"/>
        <v>10</v>
      </c>
      <c r="AM119">
        <f t="shared" si="24"/>
        <v>10</v>
      </c>
      <c r="AN119">
        <f t="shared" si="25"/>
        <v>10</v>
      </c>
    </row>
    <row r="120" spans="1:40" x14ac:dyDescent="0.25">
      <c r="A120" s="26">
        <v>114</v>
      </c>
      <c r="B120" s="27" t="str">
        <f>Absensi!B118</f>
        <v>Fishroom</v>
      </c>
      <c r="C120" s="27" t="str">
        <f>Rekap!C120</f>
        <v>Sri Fuji Astuti</v>
      </c>
      <c r="D120" s="46" t="str">
        <f t="shared" si="26"/>
        <v>FishroomSri Fuji Astuti</v>
      </c>
      <c r="E120">
        <f>COUNTIFS(Absensi!$D118:$ND118,"C",Absensi!$D$2:$ND$2,E$6)</f>
        <v>0</v>
      </c>
      <c r="F120">
        <f>COUNTIFS(Absensi!$D118:$ND118,"C",Absensi!$D$2:$ND$2,F$6)</f>
        <v>3</v>
      </c>
      <c r="G120">
        <f>COUNTIFS(Absensi!$D118:$ND118,"C",Absensi!$D$2:$ND$2,G$6)</f>
        <v>0</v>
      </c>
      <c r="H120">
        <f>COUNTIFS(Absensi!$D118:$ND118,"C",Absensi!$D$2:$ND$2,H$6)</f>
        <v>1</v>
      </c>
      <c r="I120">
        <f>COUNTIFS(Absensi!$D118:$ND118,"C",Absensi!$D$2:$ND$2,I$6)</f>
        <v>1</v>
      </c>
      <c r="J120">
        <f>COUNTIFS(Absensi!$D118:$ND118,"C",Absensi!$D$2:$ND$2,J$6)</f>
        <v>1</v>
      </c>
      <c r="K120">
        <f>COUNTIFS(Absensi!$D118:$ND118,"C",Absensi!$D$2:$ND$2,K$6)</f>
        <v>1</v>
      </c>
      <c r="L120">
        <f>COUNTIFS(Absensi!$D118:$ND118,"C",Absensi!$D$2:$ND$2,L$6)</f>
        <v>0</v>
      </c>
      <c r="M120">
        <f>COUNTIFS(Absensi!$D118:$ND118,"C",Absensi!$D$2:$ND$2,M$6)</f>
        <v>1</v>
      </c>
      <c r="N120">
        <f>COUNTIFS(Absensi!$D118:$ND118,"C",Absensi!$D$2:$ND$2,N$6)</f>
        <v>1</v>
      </c>
      <c r="O120">
        <f>COUNTIFS(Absensi!$D118:$ND118,"C",Absensi!$D$2:$ND$2,O$6)</f>
        <v>0</v>
      </c>
      <c r="P120">
        <f>COUNTIFS(Absensi!$D118:$ND118,"C",Absensi!$D$2:$ND$2,P$6)</f>
        <v>0</v>
      </c>
      <c r="Q120">
        <f>COUNTIFS(Absensi!$D118:$ND118,"CS",Absensi!$D$2:$ND$2,Q$6)</f>
        <v>0</v>
      </c>
      <c r="R120">
        <f>COUNTIFS(Absensi!$D118:$ND118,"CS",Absensi!$D$2:$ND$2,R$6)</f>
        <v>0</v>
      </c>
      <c r="S120">
        <f>COUNTIFS(Absensi!$D118:$ND118,"CS",Absensi!$D$2:$ND$2,S$6)</f>
        <v>0</v>
      </c>
      <c r="T120">
        <f>COUNTIFS(Absensi!$D118:$ND118,"CS",Absensi!$D$2:$ND$2,T$6)</f>
        <v>0</v>
      </c>
      <c r="U120">
        <f>COUNTIFS(Absensi!$D118:$ND118,"CS",Absensi!$D$2:$ND$2,U$6)</f>
        <v>0</v>
      </c>
      <c r="V120">
        <f>COUNTIFS(Absensi!$D118:$ND118,"CS",Absensi!$D$2:$ND$2,V$6)</f>
        <v>0</v>
      </c>
      <c r="W120">
        <f>COUNTIFS(Absensi!$D118:$ND118,"CS",Absensi!$D$2:$ND$2,W$6)</f>
        <v>0</v>
      </c>
      <c r="X120">
        <f>COUNTIFS(Absensi!$D118:$ND118,"CS",Absensi!$D$2:$ND$2,X$6)</f>
        <v>0</v>
      </c>
      <c r="Y120">
        <f>COUNTIFS(Absensi!$D118:$ND118,"CS",Absensi!$D$2:$ND$2,Y$6)</f>
        <v>0</v>
      </c>
      <c r="Z120">
        <f>COUNTIFS(Absensi!$D118:$ND118,"CS",Absensi!$D$2:$ND$2,Z$6)</f>
        <v>0</v>
      </c>
      <c r="AA120">
        <f>COUNTIFS(Absensi!$D118:$ND118,"CS",Absensi!$D$2:$ND$2,AA$6)</f>
        <v>0</v>
      </c>
      <c r="AB120">
        <f>COUNTIFS(Absensi!$D118:$ND118,"CS",Absensi!$D$2:$ND$2,AB$6)</f>
        <v>0</v>
      </c>
      <c r="AC120">
        <f t="shared" si="14"/>
        <v>12</v>
      </c>
      <c r="AD120">
        <f t="shared" si="15"/>
        <v>9</v>
      </c>
      <c r="AE120">
        <f t="shared" si="16"/>
        <v>9</v>
      </c>
      <c r="AF120">
        <f t="shared" si="17"/>
        <v>8</v>
      </c>
      <c r="AG120">
        <f t="shared" si="18"/>
        <v>7</v>
      </c>
      <c r="AH120">
        <f t="shared" si="19"/>
        <v>6</v>
      </c>
      <c r="AI120">
        <f t="shared" si="20"/>
        <v>5</v>
      </c>
      <c r="AJ120">
        <f t="shared" si="21"/>
        <v>5</v>
      </c>
      <c r="AK120">
        <f t="shared" si="22"/>
        <v>4</v>
      </c>
      <c r="AL120">
        <f t="shared" si="23"/>
        <v>3</v>
      </c>
      <c r="AM120">
        <f t="shared" si="24"/>
        <v>3</v>
      </c>
      <c r="AN120">
        <f t="shared" si="25"/>
        <v>3</v>
      </c>
    </row>
    <row r="121" spans="1:40" x14ac:dyDescent="0.25">
      <c r="A121" s="26">
        <v>115</v>
      </c>
      <c r="B121" s="27" t="str">
        <f>Absensi!B119</f>
        <v>Kebayoran Lama</v>
      </c>
      <c r="C121" s="27" t="str">
        <f>Rekap!C121</f>
        <v>Reni</v>
      </c>
      <c r="D121" s="46" t="str">
        <f t="shared" si="26"/>
        <v>Kebayoran LamaReni</v>
      </c>
      <c r="E121">
        <f>COUNTIFS(Absensi!$D119:$ND119,"C",Absensi!$D$2:$ND$2,E$6)</f>
        <v>0</v>
      </c>
      <c r="F121">
        <f>COUNTIFS(Absensi!$D119:$ND119,"C",Absensi!$D$2:$ND$2,F$6)</f>
        <v>4</v>
      </c>
      <c r="G121">
        <f>COUNTIFS(Absensi!$D119:$ND119,"C",Absensi!$D$2:$ND$2,G$6)</f>
        <v>0</v>
      </c>
      <c r="H121">
        <f>COUNTIFS(Absensi!$D119:$ND119,"C",Absensi!$D$2:$ND$2,H$6)</f>
        <v>0</v>
      </c>
      <c r="I121">
        <f>COUNTIFS(Absensi!$D119:$ND119,"C",Absensi!$D$2:$ND$2,I$6)</f>
        <v>0</v>
      </c>
      <c r="J121">
        <f>COUNTIFS(Absensi!$D119:$ND119,"C",Absensi!$D$2:$ND$2,J$6)</f>
        <v>0</v>
      </c>
      <c r="K121">
        <f>COUNTIFS(Absensi!$D119:$ND119,"C",Absensi!$D$2:$ND$2,K$6)</f>
        <v>0</v>
      </c>
      <c r="L121">
        <f>COUNTIFS(Absensi!$D119:$ND119,"C",Absensi!$D$2:$ND$2,L$6)</f>
        <v>0</v>
      </c>
      <c r="M121">
        <f>COUNTIFS(Absensi!$D119:$ND119,"C",Absensi!$D$2:$ND$2,M$6)</f>
        <v>3</v>
      </c>
      <c r="N121">
        <f>COUNTIFS(Absensi!$D119:$ND119,"C",Absensi!$D$2:$ND$2,N$6)</f>
        <v>0</v>
      </c>
      <c r="O121">
        <f>COUNTIFS(Absensi!$D119:$ND119,"C",Absensi!$D$2:$ND$2,O$6)</f>
        <v>0</v>
      </c>
      <c r="P121">
        <f>COUNTIFS(Absensi!$D119:$ND119,"C",Absensi!$D$2:$ND$2,P$6)</f>
        <v>0</v>
      </c>
      <c r="Q121">
        <f>COUNTIFS(Absensi!$D119:$ND119,"CS",Absensi!$D$2:$ND$2,Q$6)</f>
        <v>0</v>
      </c>
      <c r="R121">
        <f>COUNTIFS(Absensi!$D119:$ND119,"CS",Absensi!$D$2:$ND$2,R$6)</f>
        <v>0</v>
      </c>
      <c r="S121">
        <f>COUNTIFS(Absensi!$D119:$ND119,"CS",Absensi!$D$2:$ND$2,S$6)</f>
        <v>0</v>
      </c>
      <c r="T121">
        <f>COUNTIFS(Absensi!$D119:$ND119,"CS",Absensi!$D$2:$ND$2,T$6)</f>
        <v>0</v>
      </c>
      <c r="U121">
        <f>COUNTIFS(Absensi!$D119:$ND119,"CS",Absensi!$D$2:$ND$2,U$6)</f>
        <v>0</v>
      </c>
      <c r="V121">
        <f>COUNTIFS(Absensi!$D119:$ND119,"CS",Absensi!$D$2:$ND$2,V$6)</f>
        <v>0</v>
      </c>
      <c r="W121">
        <f>COUNTIFS(Absensi!$D119:$ND119,"CS",Absensi!$D$2:$ND$2,W$6)</f>
        <v>0</v>
      </c>
      <c r="X121">
        <f>COUNTIFS(Absensi!$D119:$ND119,"CS",Absensi!$D$2:$ND$2,X$6)</f>
        <v>0</v>
      </c>
      <c r="Y121">
        <f>COUNTIFS(Absensi!$D119:$ND119,"CS",Absensi!$D$2:$ND$2,Y$6)</f>
        <v>0</v>
      </c>
      <c r="Z121">
        <f>COUNTIFS(Absensi!$D119:$ND119,"CS",Absensi!$D$2:$ND$2,Z$6)</f>
        <v>0</v>
      </c>
      <c r="AA121">
        <f>COUNTIFS(Absensi!$D119:$ND119,"CS",Absensi!$D$2:$ND$2,AA$6)</f>
        <v>0</v>
      </c>
      <c r="AB121">
        <f>COUNTIFS(Absensi!$D119:$ND119,"CS",Absensi!$D$2:$ND$2,AB$6)</f>
        <v>0</v>
      </c>
      <c r="AC121">
        <f t="shared" si="14"/>
        <v>12</v>
      </c>
      <c r="AD121">
        <f t="shared" si="15"/>
        <v>8</v>
      </c>
      <c r="AE121">
        <f t="shared" si="16"/>
        <v>8</v>
      </c>
      <c r="AF121">
        <f t="shared" si="17"/>
        <v>8</v>
      </c>
      <c r="AG121">
        <f t="shared" si="18"/>
        <v>8</v>
      </c>
      <c r="AH121">
        <f t="shared" si="19"/>
        <v>8</v>
      </c>
      <c r="AI121">
        <f t="shared" si="20"/>
        <v>8</v>
      </c>
      <c r="AJ121">
        <f t="shared" si="21"/>
        <v>8</v>
      </c>
      <c r="AK121">
        <f t="shared" si="22"/>
        <v>5</v>
      </c>
      <c r="AL121">
        <f t="shared" si="23"/>
        <v>5</v>
      </c>
      <c r="AM121">
        <f t="shared" si="24"/>
        <v>5</v>
      </c>
      <c r="AN121">
        <f t="shared" si="25"/>
        <v>5</v>
      </c>
    </row>
    <row r="122" spans="1:40" x14ac:dyDescent="0.25">
      <c r="A122" s="26">
        <v>116</v>
      </c>
      <c r="B122" s="27" t="str">
        <f>Absensi!B120</f>
        <v>Kebayoran Lama</v>
      </c>
      <c r="C122" s="27" t="str">
        <f>Rekap!C122</f>
        <v>Erda Marwan</v>
      </c>
      <c r="D122" s="46" t="str">
        <f t="shared" si="26"/>
        <v>Kebayoran LamaErda Marwan</v>
      </c>
      <c r="E122">
        <f>COUNTIFS(Absensi!$D120:$ND120,"C",Absensi!$D$2:$ND$2,E$6)</f>
        <v>0</v>
      </c>
      <c r="F122">
        <f>COUNTIFS(Absensi!$D120:$ND120,"C",Absensi!$D$2:$ND$2,F$6)</f>
        <v>0</v>
      </c>
      <c r="G122">
        <f>COUNTIFS(Absensi!$D120:$ND120,"C",Absensi!$D$2:$ND$2,G$6)</f>
        <v>0</v>
      </c>
      <c r="H122">
        <f>COUNTIFS(Absensi!$D120:$ND120,"C",Absensi!$D$2:$ND$2,H$6)</f>
        <v>0</v>
      </c>
      <c r="I122">
        <f>COUNTIFS(Absensi!$D120:$ND120,"C",Absensi!$D$2:$ND$2,I$6)</f>
        <v>0</v>
      </c>
      <c r="J122">
        <f>COUNTIFS(Absensi!$D120:$ND120,"C",Absensi!$D$2:$ND$2,J$6)</f>
        <v>0</v>
      </c>
      <c r="K122">
        <f>COUNTIFS(Absensi!$D120:$ND120,"C",Absensi!$D$2:$ND$2,K$6)</f>
        <v>1</v>
      </c>
      <c r="L122">
        <f>COUNTIFS(Absensi!$D120:$ND120,"C",Absensi!$D$2:$ND$2,L$6)</f>
        <v>0</v>
      </c>
      <c r="M122">
        <f>COUNTIFS(Absensi!$D120:$ND120,"C",Absensi!$D$2:$ND$2,M$6)</f>
        <v>0</v>
      </c>
      <c r="N122">
        <f>COUNTIFS(Absensi!$D120:$ND120,"C",Absensi!$D$2:$ND$2,N$6)</f>
        <v>0</v>
      </c>
      <c r="O122">
        <f>COUNTIFS(Absensi!$D120:$ND120,"C",Absensi!$D$2:$ND$2,O$6)</f>
        <v>0</v>
      </c>
      <c r="P122">
        <f>COUNTIFS(Absensi!$D120:$ND120,"C",Absensi!$D$2:$ND$2,P$6)</f>
        <v>0</v>
      </c>
      <c r="Q122">
        <f>COUNTIFS(Absensi!$D120:$ND120,"CS",Absensi!$D$2:$ND$2,Q$6)</f>
        <v>0</v>
      </c>
      <c r="R122">
        <f>COUNTIFS(Absensi!$D120:$ND120,"CS",Absensi!$D$2:$ND$2,R$6)</f>
        <v>0</v>
      </c>
      <c r="S122">
        <f>COUNTIFS(Absensi!$D120:$ND120,"CS",Absensi!$D$2:$ND$2,S$6)</f>
        <v>0</v>
      </c>
      <c r="T122">
        <f>COUNTIFS(Absensi!$D120:$ND120,"CS",Absensi!$D$2:$ND$2,T$6)</f>
        <v>0</v>
      </c>
      <c r="U122">
        <f>COUNTIFS(Absensi!$D120:$ND120,"CS",Absensi!$D$2:$ND$2,U$6)</f>
        <v>0</v>
      </c>
      <c r="V122">
        <f>COUNTIFS(Absensi!$D120:$ND120,"CS",Absensi!$D$2:$ND$2,V$6)</f>
        <v>0</v>
      </c>
      <c r="W122">
        <f>COUNTIFS(Absensi!$D120:$ND120,"CS",Absensi!$D$2:$ND$2,W$6)</f>
        <v>0</v>
      </c>
      <c r="X122">
        <f>COUNTIFS(Absensi!$D120:$ND120,"CS",Absensi!$D$2:$ND$2,X$6)</f>
        <v>0</v>
      </c>
      <c r="Y122">
        <f>COUNTIFS(Absensi!$D120:$ND120,"CS",Absensi!$D$2:$ND$2,Y$6)</f>
        <v>0</v>
      </c>
      <c r="Z122">
        <f>COUNTIFS(Absensi!$D120:$ND120,"CS",Absensi!$D$2:$ND$2,Z$6)</f>
        <v>0</v>
      </c>
      <c r="AA122">
        <f>COUNTIFS(Absensi!$D120:$ND120,"CS",Absensi!$D$2:$ND$2,AA$6)</f>
        <v>0</v>
      </c>
      <c r="AB122">
        <f>COUNTIFS(Absensi!$D120:$ND120,"CS",Absensi!$D$2:$ND$2,AB$6)</f>
        <v>0</v>
      </c>
      <c r="AC122">
        <f t="shared" si="14"/>
        <v>12</v>
      </c>
      <c r="AD122">
        <f t="shared" si="15"/>
        <v>12</v>
      </c>
      <c r="AE122">
        <f t="shared" si="16"/>
        <v>12</v>
      </c>
      <c r="AF122">
        <f t="shared" si="17"/>
        <v>12</v>
      </c>
      <c r="AG122">
        <f t="shared" si="18"/>
        <v>12</v>
      </c>
      <c r="AH122">
        <f t="shared" si="19"/>
        <v>12</v>
      </c>
      <c r="AI122">
        <f t="shared" si="20"/>
        <v>11</v>
      </c>
      <c r="AJ122">
        <f t="shared" si="21"/>
        <v>11</v>
      </c>
      <c r="AK122">
        <f t="shared" si="22"/>
        <v>11</v>
      </c>
      <c r="AL122">
        <f t="shared" si="23"/>
        <v>11</v>
      </c>
      <c r="AM122">
        <f t="shared" si="24"/>
        <v>11</v>
      </c>
      <c r="AN122">
        <f t="shared" si="25"/>
        <v>11</v>
      </c>
    </row>
    <row r="123" spans="1:40" ht="30" x14ac:dyDescent="0.25">
      <c r="A123" s="26">
        <v>117</v>
      </c>
      <c r="B123" s="27" t="str">
        <f>Absensi!B121</f>
        <v>Kebayoran Lama</v>
      </c>
      <c r="C123" s="27" t="str">
        <f>Rekap!C123</f>
        <v>Dita Septiyanti</v>
      </c>
      <c r="D123" s="46" t="str">
        <f t="shared" si="26"/>
        <v>Kebayoran LamaDita Septiyanti</v>
      </c>
      <c r="E123">
        <f>COUNTIFS(Absensi!$D121:$ND121,"C",Absensi!$D$2:$ND$2,E$6)</f>
        <v>0</v>
      </c>
      <c r="F123">
        <f>COUNTIFS(Absensi!$D121:$ND121,"C",Absensi!$D$2:$ND$2,F$6)</f>
        <v>0</v>
      </c>
      <c r="G123">
        <f>COUNTIFS(Absensi!$D121:$ND121,"C",Absensi!$D$2:$ND$2,G$6)</f>
        <v>3</v>
      </c>
      <c r="H123">
        <f>COUNTIFS(Absensi!$D121:$ND121,"C",Absensi!$D$2:$ND$2,H$6)</f>
        <v>0</v>
      </c>
      <c r="I123">
        <f>COUNTIFS(Absensi!$D121:$ND121,"C",Absensi!$D$2:$ND$2,I$6)</f>
        <v>0</v>
      </c>
      <c r="J123">
        <f>COUNTIFS(Absensi!$D121:$ND121,"C",Absensi!$D$2:$ND$2,J$6)</f>
        <v>0</v>
      </c>
      <c r="K123">
        <f>COUNTIFS(Absensi!$D121:$ND121,"C",Absensi!$D$2:$ND$2,K$6)</f>
        <v>0</v>
      </c>
      <c r="L123">
        <f>COUNTIFS(Absensi!$D121:$ND121,"C",Absensi!$D$2:$ND$2,L$6)</f>
        <v>0</v>
      </c>
      <c r="M123">
        <f>COUNTIFS(Absensi!$D121:$ND121,"C",Absensi!$D$2:$ND$2,M$6)</f>
        <v>1</v>
      </c>
      <c r="N123">
        <f>COUNTIFS(Absensi!$D121:$ND121,"C",Absensi!$D$2:$ND$2,N$6)</f>
        <v>2</v>
      </c>
      <c r="O123">
        <f>COUNTIFS(Absensi!$D121:$ND121,"C",Absensi!$D$2:$ND$2,O$6)</f>
        <v>0</v>
      </c>
      <c r="P123">
        <f>COUNTIFS(Absensi!$D121:$ND121,"C",Absensi!$D$2:$ND$2,P$6)</f>
        <v>0</v>
      </c>
      <c r="Q123">
        <f>COUNTIFS(Absensi!$D121:$ND121,"CS",Absensi!$D$2:$ND$2,Q$6)</f>
        <v>0</v>
      </c>
      <c r="R123">
        <f>COUNTIFS(Absensi!$D121:$ND121,"CS",Absensi!$D$2:$ND$2,R$6)</f>
        <v>0</v>
      </c>
      <c r="S123">
        <f>COUNTIFS(Absensi!$D121:$ND121,"CS",Absensi!$D$2:$ND$2,S$6)</f>
        <v>0</v>
      </c>
      <c r="T123">
        <f>COUNTIFS(Absensi!$D121:$ND121,"CS",Absensi!$D$2:$ND$2,T$6)</f>
        <v>0</v>
      </c>
      <c r="U123">
        <f>COUNTIFS(Absensi!$D121:$ND121,"CS",Absensi!$D$2:$ND$2,U$6)</f>
        <v>0</v>
      </c>
      <c r="V123">
        <f>COUNTIFS(Absensi!$D121:$ND121,"CS",Absensi!$D$2:$ND$2,V$6)</f>
        <v>0</v>
      </c>
      <c r="W123">
        <f>COUNTIFS(Absensi!$D121:$ND121,"CS",Absensi!$D$2:$ND$2,W$6)</f>
        <v>0</v>
      </c>
      <c r="X123">
        <f>COUNTIFS(Absensi!$D121:$ND121,"CS",Absensi!$D$2:$ND$2,X$6)</f>
        <v>0</v>
      </c>
      <c r="Y123">
        <f>COUNTIFS(Absensi!$D121:$ND121,"CS",Absensi!$D$2:$ND$2,Y$6)</f>
        <v>0</v>
      </c>
      <c r="Z123">
        <f>COUNTIFS(Absensi!$D121:$ND121,"CS",Absensi!$D$2:$ND$2,Z$6)</f>
        <v>0</v>
      </c>
      <c r="AA123">
        <f>COUNTIFS(Absensi!$D121:$ND121,"CS",Absensi!$D$2:$ND$2,AA$6)</f>
        <v>0</v>
      </c>
      <c r="AB123">
        <f>COUNTIFS(Absensi!$D121:$ND121,"CS",Absensi!$D$2:$ND$2,AB$6)</f>
        <v>0</v>
      </c>
      <c r="AC123">
        <f t="shared" si="14"/>
        <v>12</v>
      </c>
      <c r="AD123">
        <f t="shared" si="15"/>
        <v>12</v>
      </c>
      <c r="AE123">
        <f t="shared" si="16"/>
        <v>9</v>
      </c>
      <c r="AF123">
        <f t="shared" si="17"/>
        <v>9</v>
      </c>
      <c r="AG123">
        <f t="shared" si="18"/>
        <v>9</v>
      </c>
      <c r="AH123">
        <f t="shared" si="19"/>
        <v>9</v>
      </c>
      <c r="AI123">
        <f t="shared" si="20"/>
        <v>9</v>
      </c>
      <c r="AJ123">
        <f t="shared" si="21"/>
        <v>9</v>
      </c>
      <c r="AK123">
        <f t="shared" si="22"/>
        <v>8</v>
      </c>
      <c r="AL123">
        <f t="shared" si="23"/>
        <v>6</v>
      </c>
      <c r="AM123">
        <f t="shared" si="24"/>
        <v>6</v>
      </c>
      <c r="AN123">
        <f t="shared" si="25"/>
        <v>6</v>
      </c>
    </row>
    <row r="124" spans="1:40" x14ac:dyDescent="0.25">
      <c r="A124" s="26">
        <v>118</v>
      </c>
      <c r="B124" s="27" t="str">
        <f>Absensi!B122</f>
        <v>Fishroom</v>
      </c>
      <c r="C124" s="27" t="str">
        <f>Rekap!C124</f>
        <v>Heri Sandi</v>
      </c>
      <c r="D124" s="46" t="str">
        <f t="shared" si="26"/>
        <v>FishroomHeri Sandi</v>
      </c>
      <c r="E124">
        <f>COUNTIFS(Absensi!$D122:$ND122,"C",Absensi!$D$2:$ND$2,E$6)</f>
        <v>0</v>
      </c>
      <c r="F124">
        <f>COUNTIFS(Absensi!$D122:$ND122,"C",Absensi!$D$2:$ND$2,F$6)</f>
        <v>2</v>
      </c>
      <c r="G124">
        <f>COUNTIFS(Absensi!$D122:$ND122,"C",Absensi!$D$2:$ND$2,G$6)</f>
        <v>0</v>
      </c>
      <c r="H124">
        <f>COUNTIFS(Absensi!$D122:$ND122,"C",Absensi!$D$2:$ND$2,H$6)</f>
        <v>6</v>
      </c>
      <c r="I124">
        <f>COUNTIFS(Absensi!$D122:$ND122,"C",Absensi!$D$2:$ND$2,I$6)</f>
        <v>1</v>
      </c>
      <c r="J124">
        <f>COUNTIFS(Absensi!$D122:$ND122,"C",Absensi!$D$2:$ND$2,J$6)</f>
        <v>0</v>
      </c>
      <c r="K124">
        <f>COUNTIFS(Absensi!$D122:$ND122,"C",Absensi!$D$2:$ND$2,K$6)</f>
        <v>0</v>
      </c>
      <c r="L124">
        <f>COUNTIFS(Absensi!$D122:$ND122,"C",Absensi!$D$2:$ND$2,L$6)</f>
        <v>0</v>
      </c>
      <c r="M124">
        <f>COUNTIFS(Absensi!$D122:$ND122,"C",Absensi!$D$2:$ND$2,M$6)</f>
        <v>2</v>
      </c>
      <c r="N124">
        <f>COUNTIFS(Absensi!$D122:$ND122,"C",Absensi!$D$2:$ND$2,N$6)</f>
        <v>0</v>
      </c>
      <c r="O124">
        <f>COUNTIFS(Absensi!$D122:$ND122,"C",Absensi!$D$2:$ND$2,O$6)</f>
        <v>0</v>
      </c>
      <c r="P124">
        <f>COUNTIFS(Absensi!$D122:$ND122,"C",Absensi!$D$2:$ND$2,P$6)</f>
        <v>0</v>
      </c>
      <c r="Q124">
        <f>COUNTIFS(Absensi!$D122:$ND122,"CS",Absensi!$D$2:$ND$2,Q$6)</f>
        <v>0</v>
      </c>
      <c r="R124">
        <f>COUNTIFS(Absensi!$D122:$ND122,"CS",Absensi!$D$2:$ND$2,R$6)</f>
        <v>0</v>
      </c>
      <c r="S124">
        <f>COUNTIFS(Absensi!$D122:$ND122,"CS",Absensi!$D$2:$ND$2,S$6)</f>
        <v>0</v>
      </c>
      <c r="T124">
        <f>COUNTIFS(Absensi!$D122:$ND122,"CS",Absensi!$D$2:$ND$2,T$6)</f>
        <v>0</v>
      </c>
      <c r="U124">
        <f>COUNTIFS(Absensi!$D122:$ND122,"CS",Absensi!$D$2:$ND$2,U$6)</f>
        <v>0</v>
      </c>
      <c r="V124">
        <f>COUNTIFS(Absensi!$D122:$ND122,"CS",Absensi!$D$2:$ND$2,V$6)</f>
        <v>0</v>
      </c>
      <c r="W124">
        <f>COUNTIFS(Absensi!$D122:$ND122,"CS",Absensi!$D$2:$ND$2,W$6)</f>
        <v>0</v>
      </c>
      <c r="X124">
        <f>COUNTIFS(Absensi!$D122:$ND122,"CS",Absensi!$D$2:$ND$2,X$6)</f>
        <v>0</v>
      </c>
      <c r="Y124">
        <f>COUNTIFS(Absensi!$D122:$ND122,"CS",Absensi!$D$2:$ND$2,Y$6)</f>
        <v>0</v>
      </c>
      <c r="Z124">
        <f>COUNTIFS(Absensi!$D122:$ND122,"CS",Absensi!$D$2:$ND$2,Z$6)</f>
        <v>0</v>
      </c>
      <c r="AA124">
        <f>COUNTIFS(Absensi!$D122:$ND122,"CS",Absensi!$D$2:$ND$2,AA$6)</f>
        <v>0</v>
      </c>
      <c r="AB124">
        <f>COUNTIFS(Absensi!$D122:$ND122,"CS",Absensi!$D$2:$ND$2,AB$6)</f>
        <v>0</v>
      </c>
      <c r="AC124">
        <f t="shared" si="14"/>
        <v>12</v>
      </c>
      <c r="AD124">
        <f t="shared" si="15"/>
        <v>10</v>
      </c>
      <c r="AE124">
        <f t="shared" si="16"/>
        <v>10</v>
      </c>
      <c r="AF124">
        <f t="shared" si="17"/>
        <v>4</v>
      </c>
      <c r="AG124">
        <f t="shared" si="18"/>
        <v>3</v>
      </c>
      <c r="AH124">
        <f t="shared" si="19"/>
        <v>3</v>
      </c>
      <c r="AI124">
        <f t="shared" si="20"/>
        <v>3</v>
      </c>
      <c r="AJ124">
        <f t="shared" si="21"/>
        <v>3</v>
      </c>
      <c r="AK124">
        <f t="shared" si="22"/>
        <v>1</v>
      </c>
      <c r="AL124">
        <f t="shared" si="23"/>
        <v>1</v>
      </c>
      <c r="AM124">
        <f t="shared" si="24"/>
        <v>1</v>
      </c>
      <c r="AN124">
        <f t="shared" si="25"/>
        <v>1</v>
      </c>
    </row>
    <row r="125" spans="1:40" x14ac:dyDescent="0.25">
      <c r="A125" s="26">
        <v>119</v>
      </c>
      <c r="B125" s="27" t="str">
        <f>Absensi!B123</f>
        <v>Fishroom</v>
      </c>
      <c r="C125" s="27" t="str">
        <f>Rekap!C125</f>
        <v>Aliyudin</v>
      </c>
      <c r="D125" s="46" t="str">
        <f t="shared" si="26"/>
        <v>FishroomAliyudin</v>
      </c>
      <c r="E125">
        <f>COUNTIFS(Absensi!$D123:$ND123,"C",Absensi!$D$2:$ND$2,E$6)</f>
        <v>0</v>
      </c>
      <c r="F125">
        <f>COUNTIFS(Absensi!$D123:$ND123,"C",Absensi!$D$2:$ND$2,F$6)</f>
        <v>0</v>
      </c>
      <c r="G125">
        <f>COUNTIFS(Absensi!$D123:$ND123,"C",Absensi!$D$2:$ND$2,G$6)</f>
        <v>1</v>
      </c>
      <c r="H125">
        <f>COUNTIFS(Absensi!$D123:$ND123,"C",Absensi!$D$2:$ND$2,H$6)</f>
        <v>1</v>
      </c>
      <c r="I125">
        <f>COUNTIFS(Absensi!$D123:$ND123,"C",Absensi!$D$2:$ND$2,I$6)</f>
        <v>2</v>
      </c>
      <c r="J125">
        <f>COUNTIFS(Absensi!$D123:$ND123,"C",Absensi!$D$2:$ND$2,J$6)</f>
        <v>1</v>
      </c>
      <c r="K125">
        <f>COUNTIFS(Absensi!$D123:$ND123,"C",Absensi!$D$2:$ND$2,K$6)</f>
        <v>5</v>
      </c>
      <c r="L125">
        <f>COUNTIFS(Absensi!$D123:$ND123,"C",Absensi!$D$2:$ND$2,L$6)</f>
        <v>0</v>
      </c>
      <c r="M125">
        <f>COUNTIFS(Absensi!$D123:$ND123,"C",Absensi!$D$2:$ND$2,M$6)</f>
        <v>3</v>
      </c>
      <c r="N125">
        <f>COUNTIFS(Absensi!$D123:$ND123,"C",Absensi!$D$2:$ND$2,N$6)</f>
        <v>0</v>
      </c>
      <c r="O125">
        <f>COUNTIFS(Absensi!$D123:$ND123,"C",Absensi!$D$2:$ND$2,O$6)</f>
        <v>0</v>
      </c>
      <c r="P125">
        <f>COUNTIFS(Absensi!$D123:$ND123,"C",Absensi!$D$2:$ND$2,P$6)</f>
        <v>0</v>
      </c>
      <c r="Q125">
        <f>COUNTIFS(Absensi!$D123:$ND123,"CS",Absensi!$D$2:$ND$2,Q$6)</f>
        <v>0</v>
      </c>
      <c r="R125">
        <f>COUNTIFS(Absensi!$D123:$ND123,"CS",Absensi!$D$2:$ND$2,R$6)</f>
        <v>0</v>
      </c>
      <c r="S125">
        <f>COUNTIFS(Absensi!$D123:$ND123,"CS",Absensi!$D$2:$ND$2,S$6)</f>
        <v>0</v>
      </c>
      <c r="T125">
        <f>COUNTIFS(Absensi!$D123:$ND123,"CS",Absensi!$D$2:$ND$2,T$6)</f>
        <v>0</v>
      </c>
      <c r="U125">
        <f>COUNTIFS(Absensi!$D123:$ND123,"CS",Absensi!$D$2:$ND$2,U$6)</f>
        <v>0</v>
      </c>
      <c r="V125">
        <f>COUNTIFS(Absensi!$D123:$ND123,"CS",Absensi!$D$2:$ND$2,V$6)</f>
        <v>0</v>
      </c>
      <c r="W125">
        <f>COUNTIFS(Absensi!$D123:$ND123,"CS",Absensi!$D$2:$ND$2,W$6)</f>
        <v>0</v>
      </c>
      <c r="X125">
        <f>COUNTIFS(Absensi!$D123:$ND123,"CS",Absensi!$D$2:$ND$2,X$6)</f>
        <v>0</v>
      </c>
      <c r="Y125">
        <f>COUNTIFS(Absensi!$D123:$ND123,"CS",Absensi!$D$2:$ND$2,Y$6)</f>
        <v>0</v>
      </c>
      <c r="Z125">
        <f>COUNTIFS(Absensi!$D123:$ND123,"CS",Absensi!$D$2:$ND$2,Z$6)</f>
        <v>0</v>
      </c>
      <c r="AA125">
        <f>COUNTIFS(Absensi!$D123:$ND123,"CS",Absensi!$D$2:$ND$2,AA$6)</f>
        <v>0</v>
      </c>
      <c r="AB125">
        <f>COUNTIFS(Absensi!$D123:$ND123,"CS",Absensi!$D$2:$ND$2,AB$6)</f>
        <v>0</v>
      </c>
      <c r="AC125">
        <f t="shared" si="14"/>
        <v>12</v>
      </c>
      <c r="AD125">
        <f t="shared" si="15"/>
        <v>12</v>
      </c>
      <c r="AE125">
        <f t="shared" si="16"/>
        <v>11</v>
      </c>
      <c r="AF125">
        <f t="shared" si="17"/>
        <v>10</v>
      </c>
      <c r="AG125">
        <f t="shared" si="18"/>
        <v>8</v>
      </c>
      <c r="AH125">
        <f t="shared" si="19"/>
        <v>7</v>
      </c>
      <c r="AI125">
        <f t="shared" si="20"/>
        <v>2</v>
      </c>
      <c r="AJ125">
        <f t="shared" si="21"/>
        <v>2</v>
      </c>
      <c r="AK125">
        <f t="shared" si="22"/>
        <v>-1</v>
      </c>
      <c r="AL125">
        <f t="shared" si="23"/>
        <v>-1</v>
      </c>
      <c r="AM125">
        <f t="shared" si="24"/>
        <v>-1</v>
      </c>
      <c r="AN125">
        <f t="shared" si="25"/>
        <v>-1</v>
      </c>
    </row>
    <row r="126" spans="1:40" x14ac:dyDescent="0.25">
      <c r="A126" s="26">
        <v>120</v>
      </c>
      <c r="B126" s="27" t="str">
        <f>Absensi!B124</f>
        <v>Kebayoran Lama</v>
      </c>
      <c r="C126" s="27" t="str">
        <f>Rekap!C126</f>
        <v>Aisyah</v>
      </c>
      <c r="D126" s="46" t="str">
        <f t="shared" si="26"/>
        <v>Kebayoran LamaAisyah</v>
      </c>
      <c r="E126">
        <f>COUNTIFS(Absensi!$D124:$ND124,"C",Absensi!$D$2:$ND$2,E$6)</f>
        <v>0</v>
      </c>
      <c r="F126">
        <f>COUNTIFS(Absensi!$D124:$ND124,"C",Absensi!$D$2:$ND$2,F$6)</f>
        <v>0</v>
      </c>
      <c r="G126">
        <f>COUNTIFS(Absensi!$D124:$ND124,"C",Absensi!$D$2:$ND$2,G$6)</f>
        <v>0</v>
      </c>
      <c r="H126">
        <f>COUNTIFS(Absensi!$D124:$ND124,"C",Absensi!$D$2:$ND$2,H$6)</f>
        <v>0</v>
      </c>
      <c r="I126">
        <f>COUNTIFS(Absensi!$D124:$ND124,"C",Absensi!$D$2:$ND$2,I$6)</f>
        <v>0</v>
      </c>
      <c r="J126">
        <f>COUNTIFS(Absensi!$D124:$ND124,"C",Absensi!$D$2:$ND$2,J$6)</f>
        <v>0</v>
      </c>
      <c r="K126">
        <f>COUNTIFS(Absensi!$D124:$ND124,"C",Absensi!$D$2:$ND$2,K$6)</f>
        <v>1</v>
      </c>
      <c r="L126">
        <f>COUNTIFS(Absensi!$D124:$ND124,"C",Absensi!$D$2:$ND$2,L$6)</f>
        <v>0</v>
      </c>
      <c r="M126">
        <f>COUNTIFS(Absensi!$D124:$ND124,"C",Absensi!$D$2:$ND$2,M$6)</f>
        <v>0</v>
      </c>
      <c r="N126">
        <f>COUNTIFS(Absensi!$D124:$ND124,"C",Absensi!$D$2:$ND$2,N$6)</f>
        <v>0</v>
      </c>
      <c r="O126">
        <f>COUNTIFS(Absensi!$D124:$ND124,"C",Absensi!$D$2:$ND$2,O$6)</f>
        <v>0</v>
      </c>
      <c r="P126">
        <f>COUNTIFS(Absensi!$D124:$ND124,"C",Absensi!$D$2:$ND$2,P$6)</f>
        <v>0</v>
      </c>
      <c r="Q126">
        <f>COUNTIFS(Absensi!$D124:$ND124,"CS",Absensi!$D$2:$ND$2,Q$6)</f>
        <v>0</v>
      </c>
      <c r="R126">
        <f>COUNTIFS(Absensi!$D124:$ND124,"CS",Absensi!$D$2:$ND$2,R$6)</f>
        <v>0</v>
      </c>
      <c r="S126">
        <f>COUNTIFS(Absensi!$D124:$ND124,"CS",Absensi!$D$2:$ND$2,S$6)</f>
        <v>0</v>
      </c>
      <c r="T126">
        <f>COUNTIFS(Absensi!$D124:$ND124,"CS",Absensi!$D$2:$ND$2,T$6)</f>
        <v>0</v>
      </c>
      <c r="U126">
        <f>COUNTIFS(Absensi!$D124:$ND124,"CS",Absensi!$D$2:$ND$2,U$6)</f>
        <v>0</v>
      </c>
      <c r="V126">
        <f>COUNTIFS(Absensi!$D124:$ND124,"CS",Absensi!$D$2:$ND$2,V$6)</f>
        <v>0</v>
      </c>
      <c r="W126">
        <f>COUNTIFS(Absensi!$D124:$ND124,"CS",Absensi!$D$2:$ND$2,W$6)</f>
        <v>0</v>
      </c>
      <c r="X126">
        <f>COUNTIFS(Absensi!$D124:$ND124,"CS",Absensi!$D$2:$ND$2,X$6)</f>
        <v>0</v>
      </c>
      <c r="Y126">
        <f>COUNTIFS(Absensi!$D124:$ND124,"CS",Absensi!$D$2:$ND$2,Y$6)</f>
        <v>0</v>
      </c>
      <c r="Z126">
        <f>COUNTIFS(Absensi!$D124:$ND124,"CS",Absensi!$D$2:$ND$2,Z$6)</f>
        <v>0</v>
      </c>
      <c r="AA126">
        <f>COUNTIFS(Absensi!$D124:$ND124,"CS",Absensi!$D$2:$ND$2,AA$6)</f>
        <v>0</v>
      </c>
      <c r="AB126">
        <f>COUNTIFS(Absensi!$D124:$ND124,"CS",Absensi!$D$2:$ND$2,AB$6)</f>
        <v>0</v>
      </c>
      <c r="AC126">
        <f t="shared" si="14"/>
        <v>12</v>
      </c>
      <c r="AD126">
        <f t="shared" si="15"/>
        <v>12</v>
      </c>
      <c r="AE126">
        <f t="shared" si="16"/>
        <v>12</v>
      </c>
      <c r="AF126">
        <f t="shared" si="17"/>
        <v>12</v>
      </c>
      <c r="AG126">
        <f t="shared" si="18"/>
        <v>12</v>
      </c>
      <c r="AH126">
        <f t="shared" si="19"/>
        <v>12</v>
      </c>
      <c r="AI126">
        <f t="shared" si="20"/>
        <v>11</v>
      </c>
      <c r="AJ126">
        <f t="shared" si="21"/>
        <v>11</v>
      </c>
      <c r="AK126">
        <f t="shared" si="22"/>
        <v>11</v>
      </c>
      <c r="AL126">
        <f t="shared" si="23"/>
        <v>11</v>
      </c>
      <c r="AM126">
        <f t="shared" si="24"/>
        <v>11</v>
      </c>
      <c r="AN126">
        <f t="shared" si="25"/>
        <v>11</v>
      </c>
    </row>
    <row r="127" spans="1:40" x14ac:dyDescent="0.25">
      <c r="A127" s="26">
        <v>121</v>
      </c>
      <c r="B127" s="27" t="str">
        <f>Absensi!B125</f>
        <v>Kebayoran Lama</v>
      </c>
      <c r="C127" s="27" t="str">
        <f>Rekap!C127</f>
        <v>Alip</v>
      </c>
      <c r="D127" s="46" t="str">
        <f t="shared" si="26"/>
        <v>Kebayoran LamaAlip</v>
      </c>
      <c r="E127">
        <f>COUNTIFS(Absensi!$D125:$ND125,"C",Absensi!$D$2:$ND$2,E$6)</f>
        <v>0</v>
      </c>
      <c r="F127">
        <f>COUNTIFS(Absensi!$D125:$ND125,"C",Absensi!$D$2:$ND$2,F$6)</f>
        <v>0</v>
      </c>
      <c r="G127">
        <f>COUNTIFS(Absensi!$D125:$ND125,"C",Absensi!$D$2:$ND$2,G$6)</f>
        <v>0</v>
      </c>
      <c r="H127">
        <f>COUNTIFS(Absensi!$D125:$ND125,"C",Absensi!$D$2:$ND$2,H$6)</f>
        <v>0</v>
      </c>
      <c r="I127">
        <f>COUNTIFS(Absensi!$D125:$ND125,"C",Absensi!$D$2:$ND$2,I$6)</f>
        <v>0</v>
      </c>
      <c r="J127">
        <f>COUNTIFS(Absensi!$D125:$ND125,"C",Absensi!$D$2:$ND$2,J$6)</f>
        <v>0</v>
      </c>
      <c r="K127">
        <f>COUNTIFS(Absensi!$D125:$ND125,"C",Absensi!$D$2:$ND$2,K$6)</f>
        <v>0</v>
      </c>
      <c r="L127">
        <f>COUNTIFS(Absensi!$D125:$ND125,"C",Absensi!$D$2:$ND$2,L$6)</f>
        <v>0</v>
      </c>
      <c r="M127">
        <f>COUNTIFS(Absensi!$D125:$ND125,"C",Absensi!$D$2:$ND$2,M$6)</f>
        <v>0</v>
      </c>
      <c r="N127">
        <f>COUNTIFS(Absensi!$D125:$ND125,"C",Absensi!$D$2:$ND$2,N$6)</f>
        <v>0</v>
      </c>
      <c r="O127">
        <f>COUNTIFS(Absensi!$D125:$ND125,"C",Absensi!$D$2:$ND$2,O$6)</f>
        <v>0</v>
      </c>
      <c r="P127">
        <f>COUNTIFS(Absensi!$D125:$ND125,"C",Absensi!$D$2:$ND$2,P$6)</f>
        <v>0</v>
      </c>
      <c r="Q127">
        <f>COUNTIFS(Absensi!$D125:$ND125,"CS",Absensi!$D$2:$ND$2,Q$6)</f>
        <v>0</v>
      </c>
      <c r="R127">
        <f>COUNTIFS(Absensi!$D125:$ND125,"CS",Absensi!$D$2:$ND$2,R$6)</f>
        <v>0</v>
      </c>
      <c r="S127">
        <f>COUNTIFS(Absensi!$D125:$ND125,"CS",Absensi!$D$2:$ND$2,S$6)</f>
        <v>0</v>
      </c>
      <c r="T127">
        <f>COUNTIFS(Absensi!$D125:$ND125,"CS",Absensi!$D$2:$ND$2,T$6)</f>
        <v>0</v>
      </c>
      <c r="U127">
        <f>COUNTIFS(Absensi!$D125:$ND125,"CS",Absensi!$D$2:$ND$2,U$6)</f>
        <v>0</v>
      </c>
      <c r="V127">
        <f>COUNTIFS(Absensi!$D125:$ND125,"CS",Absensi!$D$2:$ND$2,V$6)</f>
        <v>0</v>
      </c>
      <c r="W127">
        <f>COUNTIFS(Absensi!$D125:$ND125,"CS",Absensi!$D$2:$ND$2,W$6)</f>
        <v>0</v>
      </c>
      <c r="X127">
        <f>COUNTIFS(Absensi!$D125:$ND125,"CS",Absensi!$D$2:$ND$2,X$6)</f>
        <v>0</v>
      </c>
      <c r="Y127">
        <f>COUNTIFS(Absensi!$D125:$ND125,"CS",Absensi!$D$2:$ND$2,Y$6)</f>
        <v>0</v>
      </c>
      <c r="Z127">
        <f>COUNTIFS(Absensi!$D125:$ND125,"CS",Absensi!$D$2:$ND$2,Z$6)</f>
        <v>0</v>
      </c>
      <c r="AA127">
        <f>COUNTIFS(Absensi!$D125:$ND125,"CS",Absensi!$D$2:$ND$2,AA$6)</f>
        <v>0</v>
      </c>
      <c r="AB127">
        <f>COUNTIFS(Absensi!$D125:$ND125,"CS",Absensi!$D$2:$ND$2,AB$6)</f>
        <v>0</v>
      </c>
      <c r="AC127">
        <f t="shared" si="14"/>
        <v>12</v>
      </c>
      <c r="AD127">
        <f t="shared" si="15"/>
        <v>12</v>
      </c>
      <c r="AE127">
        <f t="shared" si="16"/>
        <v>12</v>
      </c>
      <c r="AF127">
        <f t="shared" si="17"/>
        <v>12</v>
      </c>
      <c r="AG127">
        <f t="shared" si="18"/>
        <v>12</v>
      </c>
      <c r="AH127">
        <f t="shared" si="19"/>
        <v>12</v>
      </c>
      <c r="AI127">
        <f t="shared" si="20"/>
        <v>12</v>
      </c>
      <c r="AJ127">
        <f t="shared" si="21"/>
        <v>12</v>
      </c>
      <c r="AK127">
        <f t="shared" si="22"/>
        <v>12</v>
      </c>
      <c r="AL127">
        <f t="shared" si="23"/>
        <v>12</v>
      </c>
      <c r="AM127">
        <f t="shared" si="24"/>
        <v>12</v>
      </c>
      <c r="AN127">
        <f t="shared" si="25"/>
        <v>12</v>
      </c>
    </row>
    <row r="128" spans="1:40" ht="30" x14ac:dyDescent="0.25">
      <c r="A128" s="26">
        <v>122</v>
      </c>
      <c r="B128" s="27" t="str">
        <f>Absensi!B126</f>
        <v>Kebayoran Lama</v>
      </c>
      <c r="C128" s="27" t="str">
        <f>Rekap!C128</f>
        <v>Mifta Udin Pratama</v>
      </c>
      <c r="D128" s="46" t="str">
        <f t="shared" si="26"/>
        <v>Kebayoran LamaMifta Udin Pratama</v>
      </c>
      <c r="E128">
        <f>COUNTIFS(Absensi!$D126:$ND126,"C",Absensi!$D$2:$ND$2,E$6)</f>
        <v>0</v>
      </c>
      <c r="F128">
        <f>COUNTIFS(Absensi!$D126:$ND126,"C",Absensi!$D$2:$ND$2,F$6)</f>
        <v>0</v>
      </c>
      <c r="G128">
        <f>COUNTIFS(Absensi!$D126:$ND126,"C",Absensi!$D$2:$ND$2,G$6)</f>
        <v>0</v>
      </c>
      <c r="H128">
        <f>COUNTIFS(Absensi!$D126:$ND126,"C",Absensi!$D$2:$ND$2,H$6)</f>
        <v>0</v>
      </c>
      <c r="I128">
        <f>COUNTIFS(Absensi!$D126:$ND126,"C",Absensi!$D$2:$ND$2,I$6)</f>
        <v>0</v>
      </c>
      <c r="J128">
        <f>COUNTIFS(Absensi!$D126:$ND126,"C",Absensi!$D$2:$ND$2,J$6)</f>
        <v>3</v>
      </c>
      <c r="K128">
        <f>COUNTIFS(Absensi!$D126:$ND126,"C",Absensi!$D$2:$ND$2,K$6)</f>
        <v>5</v>
      </c>
      <c r="L128">
        <f>COUNTIFS(Absensi!$D126:$ND126,"C",Absensi!$D$2:$ND$2,L$6)</f>
        <v>0</v>
      </c>
      <c r="M128">
        <f>COUNTIFS(Absensi!$D126:$ND126,"C",Absensi!$D$2:$ND$2,M$6)</f>
        <v>0</v>
      </c>
      <c r="N128">
        <f>COUNTIFS(Absensi!$D126:$ND126,"C",Absensi!$D$2:$ND$2,N$6)</f>
        <v>0</v>
      </c>
      <c r="O128">
        <f>COUNTIFS(Absensi!$D126:$ND126,"C",Absensi!$D$2:$ND$2,O$6)</f>
        <v>0</v>
      </c>
      <c r="P128">
        <f>COUNTIFS(Absensi!$D126:$ND126,"C",Absensi!$D$2:$ND$2,P$6)</f>
        <v>0</v>
      </c>
      <c r="Q128">
        <f>COUNTIFS(Absensi!$D126:$ND126,"CS",Absensi!$D$2:$ND$2,Q$6)</f>
        <v>0</v>
      </c>
      <c r="R128">
        <f>COUNTIFS(Absensi!$D126:$ND126,"CS",Absensi!$D$2:$ND$2,R$6)</f>
        <v>0</v>
      </c>
      <c r="S128">
        <f>COUNTIFS(Absensi!$D126:$ND126,"CS",Absensi!$D$2:$ND$2,S$6)</f>
        <v>0</v>
      </c>
      <c r="T128">
        <f>COUNTIFS(Absensi!$D126:$ND126,"CS",Absensi!$D$2:$ND$2,T$6)</f>
        <v>0</v>
      </c>
      <c r="U128">
        <f>COUNTIFS(Absensi!$D126:$ND126,"CS",Absensi!$D$2:$ND$2,U$6)</f>
        <v>0</v>
      </c>
      <c r="V128">
        <f>COUNTIFS(Absensi!$D126:$ND126,"CS",Absensi!$D$2:$ND$2,V$6)</f>
        <v>0</v>
      </c>
      <c r="W128">
        <f>COUNTIFS(Absensi!$D126:$ND126,"CS",Absensi!$D$2:$ND$2,W$6)</f>
        <v>0</v>
      </c>
      <c r="X128">
        <f>COUNTIFS(Absensi!$D126:$ND126,"CS",Absensi!$D$2:$ND$2,X$6)</f>
        <v>0</v>
      </c>
      <c r="Y128">
        <f>COUNTIFS(Absensi!$D126:$ND126,"CS",Absensi!$D$2:$ND$2,Y$6)</f>
        <v>0</v>
      </c>
      <c r="Z128">
        <f>COUNTIFS(Absensi!$D126:$ND126,"CS",Absensi!$D$2:$ND$2,Z$6)</f>
        <v>0</v>
      </c>
      <c r="AA128">
        <f>COUNTIFS(Absensi!$D126:$ND126,"CS",Absensi!$D$2:$ND$2,AA$6)</f>
        <v>0</v>
      </c>
      <c r="AB128">
        <f>COUNTIFS(Absensi!$D126:$ND126,"CS",Absensi!$D$2:$ND$2,AB$6)</f>
        <v>0</v>
      </c>
      <c r="AC128">
        <f t="shared" si="14"/>
        <v>12</v>
      </c>
      <c r="AD128">
        <f t="shared" si="15"/>
        <v>12</v>
      </c>
      <c r="AE128">
        <f t="shared" si="16"/>
        <v>12</v>
      </c>
      <c r="AF128">
        <f t="shared" si="17"/>
        <v>12</v>
      </c>
      <c r="AG128">
        <f t="shared" si="18"/>
        <v>12</v>
      </c>
      <c r="AH128">
        <f t="shared" si="19"/>
        <v>9</v>
      </c>
      <c r="AI128">
        <f t="shared" si="20"/>
        <v>4</v>
      </c>
      <c r="AJ128">
        <f t="shared" si="21"/>
        <v>4</v>
      </c>
      <c r="AK128">
        <f t="shared" si="22"/>
        <v>4</v>
      </c>
      <c r="AL128">
        <f t="shared" si="23"/>
        <v>4</v>
      </c>
      <c r="AM128">
        <f t="shared" si="24"/>
        <v>4</v>
      </c>
      <c r="AN128">
        <f t="shared" si="25"/>
        <v>4</v>
      </c>
    </row>
    <row r="129" spans="1:40" x14ac:dyDescent="0.25">
      <c r="A129" s="26">
        <v>123</v>
      </c>
      <c r="B129" s="27" t="str">
        <f>Absensi!B127</f>
        <v>Kebayoran Lama</v>
      </c>
      <c r="C129" s="27" t="str">
        <f>Rekap!C129</f>
        <v>wanto</v>
      </c>
      <c r="D129" s="46" t="str">
        <f t="shared" si="26"/>
        <v>Kebayoran Lamawanto</v>
      </c>
      <c r="E129">
        <f>COUNTIFS(Absensi!$D127:$ND127,"C",Absensi!$D$2:$ND$2,E$6)</f>
        <v>0</v>
      </c>
      <c r="F129">
        <f>COUNTIFS(Absensi!$D127:$ND127,"C",Absensi!$D$2:$ND$2,F$6)</f>
        <v>0</v>
      </c>
      <c r="G129">
        <f>COUNTIFS(Absensi!$D127:$ND127,"C",Absensi!$D$2:$ND$2,G$6)</f>
        <v>0</v>
      </c>
      <c r="H129">
        <f>COUNTIFS(Absensi!$D127:$ND127,"C",Absensi!$D$2:$ND$2,H$6)</f>
        <v>0</v>
      </c>
      <c r="I129">
        <f>COUNTIFS(Absensi!$D127:$ND127,"C",Absensi!$D$2:$ND$2,I$6)</f>
        <v>0</v>
      </c>
      <c r="J129">
        <f>COUNTIFS(Absensi!$D127:$ND127,"C",Absensi!$D$2:$ND$2,J$6)</f>
        <v>0</v>
      </c>
      <c r="K129">
        <f>COUNTIFS(Absensi!$D127:$ND127,"C",Absensi!$D$2:$ND$2,K$6)</f>
        <v>0</v>
      </c>
      <c r="L129">
        <f>COUNTIFS(Absensi!$D127:$ND127,"C",Absensi!$D$2:$ND$2,L$6)</f>
        <v>0</v>
      </c>
      <c r="M129">
        <f>COUNTIFS(Absensi!$D127:$ND127,"C",Absensi!$D$2:$ND$2,M$6)</f>
        <v>0</v>
      </c>
      <c r="N129">
        <f>COUNTIFS(Absensi!$D127:$ND127,"C",Absensi!$D$2:$ND$2,N$6)</f>
        <v>0</v>
      </c>
      <c r="O129">
        <f>COUNTIFS(Absensi!$D127:$ND127,"C",Absensi!$D$2:$ND$2,O$6)</f>
        <v>0</v>
      </c>
      <c r="P129">
        <f>COUNTIFS(Absensi!$D127:$ND127,"C",Absensi!$D$2:$ND$2,P$6)</f>
        <v>0</v>
      </c>
      <c r="Q129">
        <f>COUNTIFS(Absensi!$D127:$ND127,"CS",Absensi!$D$2:$ND$2,Q$6)</f>
        <v>0</v>
      </c>
      <c r="R129">
        <f>COUNTIFS(Absensi!$D127:$ND127,"CS",Absensi!$D$2:$ND$2,R$6)</f>
        <v>0</v>
      </c>
      <c r="S129">
        <f>COUNTIFS(Absensi!$D127:$ND127,"CS",Absensi!$D$2:$ND$2,S$6)</f>
        <v>0</v>
      </c>
      <c r="T129">
        <f>COUNTIFS(Absensi!$D127:$ND127,"CS",Absensi!$D$2:$ND$2,T$6)</f>
        <v>0</v>
      </c>
      <c r="U129">
        <f>COUNTIFS(Absensi!$D127:$ND127,"CS",Absensi!$D$2:$ND$2,U$6)</f>
        <v>0</v>
      </c>
      <c r="V129">
        <f>COUNTIFS(Absensi!$D127:$ND127,"CS",Absensi!$D$2:$ND$2,V$6)</f>
        <v>0</v>
      </c>
      <c r="W129">
        <f>COUNTIFS(Absensi!$D127:$ND127,"CS",Absensi!$D$2:$ND$2,W$6)</f>
        <v>0</v>
      </c>
      <c r="X129">
        <f>COUNTIFS(Absensi!$D127:$ND127,"CS",Absensi!$D$2:$ND$2,X$6)</f>
        <v>0</v>
      </c>
      <c r="Y129">
        <f>COUNTIFS(Absensi!$D127:$ND127,"CS",Absensi!$D$2:$ND$2,Y$6)</f>
        <v>0</v>
      </c>
      <c r="Z129">
        <f>COUNTIFS(Absensi!$D127:$ND127,"CS",Absensi!$D$2:$ND$2,Z$6)</f>
        <v>0</v>
      </c>
      <c r="AA129">
        <f>COUNTIFS(Absensi!$D127:$ND127,"CS",Absensi!$D$2:$ND$2,AA$6)</f>
        <v>0</v>
      </c>
      <c r="AB129">
        <f>COUNTIFS(Absensi!$D127:$ND127,"CS",Absensi!$D$2:$ND$2,AB$6)</f>
        <v>0</v>
      </c>
      <c r="AC129">
        <f t="shared" si="14"/>
        <v>12</v>
      </c>
      <c r="AD129">
        <f t="shared" si="15"/>
        <v>12</v>
      </c>
      <c r="AE129">
        <f t="shared" si="16"/>
        <v>12</v>
      </c>
      <c r="AF129">
        <f t="shared" si="17"/>
        <v>12</v>
      </c>
      <c r="AG129">
        <f t="shared" si="18"/>
        <v>12</v>
      </c>
      <c r="AH129">
        <f t="shared" si="19"/>
        <v>12</v>
      </c>
      <c r="AI129">
        <f t="shared" si="20"/>
        <v>12</v>
      </c>
      <c r="AJ129">
        <f t="shared" si="21"/>
        <v>12</v>
      </c>
      <c r="AK129">
        <f t="shared" si="22"/>
        <v>12</v>
      </c>
      <c r="AL129">
        <f t="shared" si="23"/>
        <v>12</v>
      </c>
      <c r="AM129">
        <f t="shared" si="24"/>
        <v>12</v>
      </c>
      <c r="AN129">
        <f t="shared" si="25"/>
        <v>12</v>
      </c>
    </row>
    <row r="130" spans="1:40" ht="30" x14ac:dyDescent="0.25">
      <c r="A130" s="26">
        <v>124</v>
      </c>
      <c r="B130" s="27" t="str">
        <f>Absensi!B128</f>
        <v>Kebayoran Lama</v>
      </c>
      <c r="C130" s="27" t="str">
        <f>Rekap!C130</f>
        <v>Tara Febriyanti</v>
      </c>
      <c r="D130" s="46" t="str">
        <f t="shared" si="26"/>
        <v>Kebayoran LamaTara Febriyanti</v>
      </c>
      <c r="E130">
        <f>COUNTIFS(Absensi!$D128:$ND128,"C",Absensi!$D$2:$ND$2,E$6)</f>
        <v>12</v>
      </c>
      <c r="F130">
        <f>COUNTIFS(Absensi!$D128:$ND128,"C",Absensi!$D$2:$ND$2,F$6)</f>
        <v>0</v>
      </c>
      <c r="G130">
        <f>COUNTIFS(Absensi!$D128:$ND128,"C",Absensi!$D$2:$ND$2,G$6)</f>
        <v>0</v>
      </c>
      <c r="H130">
        <f>COUNTIFS(Absensi!$D128:$ND128,"C",Absensi!$D$2:$ND$2,H$6)</f>
        <v>0</v>
      </c>
      <c r="I130">
        <f>COUNTIFS(Absensi!$D128:$ND128,"C",Absensi!$D$2:$ND$2,I$6)</f>
        <v>0</v>
      </c>
      <c r="J130">
        <f>COUNTIFS(Absensi!$D128:$ND128,"C",Absensi!$D$2:$ND$2,J$6)</f>
        <v>1</v>
      </c>
      <c r="K130">
        <f>COUNTIFS(Absensi!$D128:$ND128,"C",Absensi!$D$2:$ND$2,K$6)</f>
        <v>0</v>
      </c>
      <c r="L130">
        <f>COUNTIFS(Absensi!$D128:$ND128,"C",Absensi!$D$2:$ND$2,L$6)</f>
        <v>0</v>
      </c>
      <c r="M130">
        <f>COUNTIFS(Absensi!$D128:$ND128,"C",Absensi!$D$2:$ND$2,M$6)</f>
        <v>0</v>
      </c>
      <c r="N130">
        <f>COUNTIFS(Absensi!$D128:$ND128,"C",Absensi!$D$2:$ND$2,N$6)</f>
        <v>0</v>
      </c>
      <c r="O130">
        <f>COUNTIFS(Absensi!$D128:$ND128,"C",Absensi!$D$2:$ND$2,O$6)</f>
        <v>0</v>
      </c>
      <c r="P130">
        <f>COUNTIFS(Absensi!$D128:$ND128,"C",Absensi!$D$2:$ND$2,P$6)</f>
        <v>0</v>
      </c>
      <c r="Q130">
        <f>COUNTIFS(Absensi!$D128:$ND128,"CS",Absensi!$D$2:$ND$2,Q$6)</f>
        <v>0</v>
      </c>
      <c r="R130">
        <f>COUNTIFS(Absensi!$D128:$ND128,"CS",Absensi!$D$2:$ND$2,R$6)</f>
        <v>0</v>
      </c>
      <c r="S130">
        <f>COUNTIFS(Absensi!$D128:$ND128,"CS",Absensi!$D$2:$ND$2,S$6)</f>
        <v>0</v>
      </c>
      <c r="T130">
        <f>COUNTIFS(Absensi!$D128:$ND128,"CS",Absensi!$D$2:$ND$2,T$6)</f>
        <v>0</v>
      </c>
      <c r="U130">
        <f>COUNTIFS(Absensi!$D128:$ND128,"CS",Absensi!$D$2:$ND$2,U$6)</f>
        <v>0</v>
      </c>
      <c r="V130">
        <f>COUNTIFS(Absensi!$D128:$ND128,"CS",Absensi!$D$2:$ND$2,V$6)</f>
        <v>0</v>
      </c>
      <c r="W130">
        <f>COUNTIFS(Absensi!$D128:$ND128,"CS",Absensi!$D$2:$ND$2,W$6)</f>
        <v>0</v>
      </c>
      <c r="X130">
        <f>COUNTIFS(Absensi!$D128:$ND128,"CS",Absensi!$D$2:$ND$2,X$6)</f>
        <v>0</v>
      </c>
      <c r="Y130">
        <f>COUNTIFS(Absensi!$D128:$ND128,"CS",Absensi!$D$2:$ND$2,Y$6)</f>
        <v>0</v>
      </c>
      <c r="Z130">
        <f>COUNTIFS(Absensi!$D128:$ND128,"CS",Absensi!$D$2:$ND$2,Z$6)</f>
        <v>0</v>
      </c>
      <c r="AA130">
        <f>COUNTIFS(Absensi!$D128:$ND128,"CS",Absensi!$D$2:$ND$2,AA$6)</f>
        <v>0</v>
      </c>
      <c r="AB130">
        <f>COUNTIFS(Absensi!$D128:$ND128,"CS",Absensi!$D$2:$ND$2,AB$6)</f>
        <v>0</v>
      </c>
      <c r="AC130">
        <f t="shared" si="14"/>
        <v>0</v>
      </c>
      <c r="AD130">
        <f t="shared" si="15"/>
        <v>0</v>
      </c>
      <c r="AE130">
        <f t="shared" si="16"/>
        <v>0</v>
      </c>
      <c r="AF130">
        <f t="shared" si="17"/>
        <v>0</v>
      </c>
      <c r="AG130">
        <f t="shared" si="18"/>
        <v>0</v>
      </c>
      <c r="AH130">
        <f t="shared" si="19"/>
        <v>-1</v>
      </c>
      <c r="AI130">
        <f t="shared" si="20"/>
        <v>-1</v>
      </c>
      <c r="AJ130">
        <f t="shared" si="21"/>
        <v>-1</v>
      </c>
      <c r="AK130">
        <f t="shared" si="22"/>
        <v>-1</v>
      </c>
      <c r="AL130">
        <f t="shared" si="23"/>
        <v>-1</v>
      </c>
      <c r="AM130">
        <f t="shared" si="24"/>
        <v>-1</v>
      </c>
      <c r="AN130">
        <f t="shared" si="25"/>
        <v>-1</v>
      </c>
    </row>
    <row r="131" spans="1:40" x14ac:dyDescent="0.25">
      <c r="A131" s="26">
        <v>125</v>
      </c>
      <c r="B131" s="27" t="str">
        <f>Absensi!B129</f>
        <v>Kebayoran Lama</v>
      </c>
      <c r="C131" s="27" t="str">
        <f>Rekap!C131</f>
        <v>Maulana</v>
      </c>
      <c r="D131" s="46" t="str">
        <f t="shared" si="26"/>
        <v>Kebayoran LamaMaulana</v>
      </c>
      <c r="E131">
        <f>COUNTIFS(Absensi!$D129:$ND129,"C",Absensi!$D$2:$ND$2,E$6)</f>
        <v>0</v>
      </c>
      <c r="F131">
        <f>COUNTIFS(Absensi!$D129:$ND129,"C",Absensi!$D$2:$ND$2,F$6)</f>
        <v>0</v>
      </c>
      <c r="G131">
        <f>COUNTIFS(Absensi!$D129:$ND129,"C",Absensi!$D$2:$ND$2,G$6)</f>
        <v>0</v>
      </c>
      <c r="H131">
        <f>COUNTIFS(Absensi!$D129:$ND129,"C",Absensi!$D$2:$ND$2,H$6)</f>
        <v>0</v>
      </c>
      <c r="I131">
        <f>COUNTIFS(Absensi!$D129:$ND129,"C",Absensi!$D$2:$ND$2,I$6)</f>
        <v>0</v>
      </c>
      <c r="J131">
        <f>COUNTIFS(Absensi!$D129:$ND129,"C",Absensi!$D$2:$ND$2,J$6)</f>
        <v>0</v>
      </c>
      <c r="K131">
        <f>COUNTIFS(Absensi!$D129:$ND129,"C",Absensi!$D$2:$ND$2,K$6)</f>
        <v>0</v>
      </c>
      <c r="L131">
        <f>COUNTIFS(Absensi!$D129:$ND129,"C",Absensi!$D$2:$ND$2,L$6)</f>
        <v>0</v>
      </c>
      <c r="M131">
        <f>COUNTIFS(Absensi!$D129:$ND129,"C",Absensi!$D$2:$ND$2,M$6)</f>
        <v>0</v>
      </c>
      <c r="N131">
        <f>COUNTIFS(Absensi!$D129:$ND129,"C",Absensi!$D$2:$ND$2,N$6)</f>
        <v>0</v>
      </c>
      <c r="O131">
        <f>COUNTIFS(Absensi!$D129:$ND129,"C",Absensi!$D$2:$ND$2,O$6)</f>
        <v>0</v>
      </c>
      <c r="P131">
        <f>COUNTIFS(Absensi!$D129:$ND129,"C",Absensi!$D$2:$ND$2,P$6)</f>
        <v>0</v>
      </c>
      <c r="Q131">
        <f>COUNTIFS(Absensi!$D129:$ND129,"CS",Absensi!$D$2:$ND$2,Q$6)</f>
        <v>0</v>
      </c>
      <c r="R131">
        <f>COUNTIFS(Absensi!$D129:$ND129,"CS",Absensi!$D$2:$ND$2,R$6)</f>
        <v>0</v>
      </c>
      <c r="S131">
        <f>COUNTIFS(Absensi!$D129:$ND129,"CS",Absensi!$D$2:$ND$2,S$6)</f>
        <v>0</v>
      </c>
      <c r="T131">
        <f>COUNTIFS(Absensi!$D129:$ND129,"CS",Absensi!$D$2:$ND$2,T$6)</f>
        <v>0</v>
      </c>
      <c r="U131">
        <f>COUNTIFS(Absensi!$D129:$ND129,"CS",Absensi!$D$2:$ND$2,U$6)</f>
        <v>0</v>
      </c>
      <c r="V131">
        <f>COUNTIFS(Absensi!$D129:$ND129,"CS",Absensi!$D$2:$ND$2,V$6)</f>
        <v>0</v>
      </c>
      <c r="W131">
        <f>COUNTIFS(Absensi!$D129:$ND129,"CS",Absensi!$D$2:$ND$2,W$6)</f>
        <v>0</v>
      </c>
      <c r="X131">
        <f>COUNTIFS(Absensi!$D129:$ND129,"CS",Absensi!$D$2:$ND$2,X$6)</f>
        <v>0</v>
      </c>
      <c r="Y131">
        <f>COUNTIFS(Absensi!$D129:$ND129,"CS",Absensi!$D$2:$ND$2,Y$6)</f>
        <v>0</v>
      </c>
      <c r="Z131">
        <f>COUNTIFS(Absensi!$D129:$ND129,"CS",Absensi!$D$2:$ND$2,Z$6)</f>
        <v>0</v>
      </c>
      <c r="AA131">
        <f>COUNTIFS(Absensi!$D129:$ND129,"CS",Absensi!$D$2:$ND$2,AA$6)</f>
        <v>0</v>
      </c>
      <c r="AB131">
        <f>COUNTIFS(Absensi!$D129:$ND129,"CS",Absensi!$D$2:$ND$2,AB$6)</f>
        <v>0</v>
      </c>
      <c r="AC131">
        <f t="shared" si="14"/>
        <v>12</v>
      </c>
      <c r="AD131">
        <f t="shared" si="15"/>
        <v>12</v>
      </c>
      <c r="AE131">
        <f t="shared" si="16"/>
        <v>12</v>
      </c>
      <c r="AF131">
        <f t="shared" si="17"/>
        <v>12</v>
      </c>
      <c r="AG131">
        <f t="shared" si="18"/>
        <v>12</v>
      </c>
      <c r="AH131">
        <f t="shared" si="19"/>
        <v>12</v>
      </c>
      <c r="AI131">
        <f t="shared" si="20"/>
        <v>12</v>
      </c>
      <c r="AJ131">
        <f t="shared" si="21"/>
        <v>12</v>
      </c>
      <c r="AK131">
        <f t="shared" si="22"/>
        <v>12</v>
      </c>
      <c r="AL131">
        <f t="shared" si="23"/>
        <v>12</v>
      </c>
      <c r="AM131">
        <f t="shared" si="24"/>
        <v>12</v>
      </c>
      <c r="AN131">
        <f t="shared" si="25"/>
        <v>12</v>
      </c>
    </row>
    <row r="132" spans="1:40" x14ac:dyDescent="0.25">
      <c r="A132" s="26">
        <v>126</v>
      </c>
      <c r="B132" s="27" t="str">
        <f>Absensi!B130</f>
        <v>Kebayoran Lama</v>
      </c>
      <c r="C132" s="27" t="str">
        <f>Rekap!C132</f>
        <v>Riki</v>
      </c>
      <c r="D132" s="46" t="str">
        <f t="shared" si="26"/>
        <v>Kebayoran LamaRiki</v>
      </c>
      <c r="E132">
        <f>COUNTIFS(Absensi!$D130:$ND130,"C",Absensi!$D$2:$ND$2,E$6)</f>
        <v>0</v>
      </c>
      <c r="F132">
        <f>COUNTIFS(Absensi!$D130:$ND130,"C",Absensi!$D$2:$ND$2,F$6)</f>
        <v>0</v>
      </c>
      <c r="G132">
        <f>COUNTIFS(Absensi!$D130:$ND130,"C",Absensi!$D$2:$ND$2,G$6)</f>
        <v>0</v>
      </c>
      <c r="H132">
        <f>COUNTIFS(Absensi!$D130:$ND130,"C",Absensi!$D$2:$ND$2,H$6)</f>
        <v>0</v>
      </c>
      <c r="I132">
        <f>COUNTIFS(Absensi!$D130:$ND130,"C",Absensi!$D$2:$ND$2,I$6)</f>
        <v>0</v>
      </c>
      <c r="J132">
        <f>COUNTIFS(Absensi!$D130:$ND130,"C",Absensi!$D$2:$ND$2,J$6)</f>
        <v>0</v>
      </c>
      <c r="K132">
        <f>COUNTIFS(Absensi!$D130:$ND130,"C",Absensi!$D$2:$ND$2,K$6)</f>
        <v>0</v>
      </c>
      <c r="L132">
        <f>COUNTIFS(Absensi!$D130:$ND130,"C",Absensi!$D$2:$ND$2,L$6)</f>
        <v>0</v>
      </c>
      <c r="M132">
        <f>COUNTIFS(Absensi!$D130:$ND130,"C",Absensi!$D$2:$ND$2,M$6)</f>
        <v>0</v>
      </c>
      <c r="N132">
        <f>COUNTIFS(Absensi!$D130:$ND130,"C",Absensi!$D$2:$ND$2,N$6)</f>
        <v>0</v>
      </c>
      <c r="O132">
        <f>COUNTIFS(Absensi!$D130:$ND130,"C",Absensi!$D$2:$ND$2,O$6)</f>
        <v>0</v>
      </c>
      <c r="P132">
        <f>COUNTIFS(Absensi!$D130:$ND130,"C",Absensi!$D$2:$ND$2,P$6)</f>
        <v>0</v>
      </c>
      <c r="Q132">
        <f>COUNTIFS(Absensi!$D130:$ND130,"CS",Absensi!$D$2:$ND$2,Q$6)</f>
        <v>0</v>
      </c>
      <c r="R132">
        <f>COUNTIFS(Absensi!$D130:$ND130,"CS",Absensi!$D$2:$ND$2,R$6)</f>
        <v>0</v>
      </c>
      <c r="S132">
        <f>COUNTIFS(Absensi!$D130:$ND130,"CS",Absensi!$D$2:$ND$2,S$6)</f>
        <v>0</v>
      </c>
      <c r="T132">
        <f>COUNTIFS(Absensi!$D130:$ND130,"CS",Absensi!$D$2:$ND$2,T$6)</f>
        <v>0</v>
      </c>
      <c r="U132">
        <f>COUNTIFS(Absensi!$D130:$ND130,"CS",Absensi!$D$2:$ND$2,U$6)</f>
        <v>0</v>
      </c>
      <c r="V132">
        <f>COUNTIFS(Absensi!$D130:$ND130,"CS",Absensi!$D$2:$ND$2,V$6)</f>
        <v>0</v>
      </c>
      <c r="W132">
        <f>COUNTIFS(Absensi!$D130:$ND130,"CS",Absensi!$D$2:$ND$2,W$6)</f>
        <v>0</v>
      </c>
      <c r="X132">
        <f>COUNTIFS(Absensi!$D130:$ND130,"CS",Absensi!$D$2:$ND$2,X$6)</f>
        <v>0</v>
      </c>
      <c r="Y132">
        <f>COUNTIFS(Absensi!$D130:$ND130,"CS",Absensi!$D$2:$ND$2,Y$6)</f>
        <v>0</v>
      </c>
      <c r="Z132">
        <f>COUNTIFS(Absensi!$D130:$ND130,"CS",Absensi!$D$2:$ND$2,Z$6)</f>
        <v>0</v>
      </c>
      <c r="AA132">
        <f>COUNTIFS(Absensi!$D130:$ND130,"CS",Absensi!$D$2:$ND$2,AA$6)</f>
        <v>0</v>
      </c>
      <c r="AB132">
        <f>COUNTIFS(Absensi!$D130:$ND130,"CS",Absensi!$D$2:$ND$2,AB$6)</f>
        <v>0</v>
      </c>
      <c r="AC132">
        <f t="shared" si="14"/>
        <v>12</v>
      </c>
      <c r="AD132">
        <f t="shared" si="15"/>
        <v>12</v>
      </c>
      <c r="AE132">
        <f t="shared" si="16"/>
        <v>12</v>
      </c>
      <c r="AF132">
        <f t="shared" si="17"/>
        <v>12</v>
      </c>
      <c r="AG132">
        <f t="shared" si="18"/>
        <v>12</v>
      </c>
      <c r="AH132">
        <f t="shared" si="19"/>
        <v>12</v>
      </c>
      <c r="AI132">
        <f t="shared" si="20"/>
        <v>12</v>
      </c>
      <c r="AJ132">
        <f t="shared" si="21"/>
        <v>12</v>
      </c>
      <c r="AK132">
        <f t="shared" si="22"/>
        <v>12</v>
      </c>
      <c r="AL132">
        <f t="shared" si="23"/>
        <v>12</v>
      </c>
      <c r="AM132">
        <f t="shared" si="24"/>
        <v>12</v>
      </c>
      <c r="AN132">
        <f t="shared" si="25"/>
        <v>12</v>
      </c>
    </row>
    <row r="133" spans="1:40" x14ac:dyDescent="0.25">
      <c r="A133" s="26">
        <v>127</v>
      </c>
      <c r="B133" s="27" t="str">
        <f>Absensi!B131</f>
        <v>Kebayoran Lama</v>
      </c>
      <c r="C133" s="27" t="str">
        <f>Rekap!C133</f>
        <v>Mahesa</v>
      </c>
      <c r="D133" s="46" t="str">
        <f t="shared" si="26"/>
        <v>Kebayoran LamaMahesa</v>
      </c>
      <c r="E133">
        <f>COUNTIFS(Absensi!$D131:$ND131,"C",Absensi!$D$2:$ND$2,E$6)</f>
        <v>0</v>
      </c>
      <c r="F133">
        <f>COUNTIFS(Absensi!$D131:$ND131,"C",Absensi!$D$2:$ND$2,F$6)</f>
        <v>0</v>
      </c>
      <c r="G133">
        <f>COUNTIFS(Absensi!$D131:$ND131,"C",Absensi!$D$2:$ND$2,G$6)</f>
        <v>0</v>
      </c>
      <c r="H133">
        <f>COUNTIFS(Absensi!$D131:$ND131,"C",Absensi!$D$2:$ND$2,H$6)</f>
        <v>0</v>
      </c>
      <c r="I133">
        <f>COUNTIFS(Absensi!$D131:$ND131,"C",Absensi!$D$2:$ND$2,I$6)</f>
        <v>0</v>
      </c>
      <c r="J133">
        <f>COUNTIFS(Absensi!$D131:$ND131,"C",Absensi!$D$2:$ND$2,J$6)</f>
        <v>0</v>
      </c>
      <c r="K133">
        <f>COUNTIFS(Absensi!$D131:$ND131,"C",Absensi!$D$2:$ND$2,K$6)</f>
        <v>0</v>
      </c>
      <c r="L133">
        <f>COUNTIFS(Absensi!$D131:$ND131,"C",Absensi!$D$2:$ND$2,L$6)</f>
        <v>0</v>
      </c>
      <c r="M133">
        <f>COUNTIFS(Absensi!$D131:$ND131,"C",Absensi!$D$2:$ND$2,M$6)</f>
        <v>0</v>
      </c>
      <c r="N133">
        <f>COUNTIFS(Absensi!$D131:$ND131,"C",Absensi!$D$2:$ND$2,N$6)</f>
        <v>0</v>
      </c>
      <c r="O133">
        <f>COUNTIFS(Absensi!$D131:$ND131,"C",Absensi!$D$2:$ND$2,O$6)</f>
        <v>0</v>
      </c>
      <c r="P133">
        <f>COUNTIFS(Absensi!$D131:$ND131,"C",Absensi!$D$2:$ND$2,P$6)</f>
        <v>0</v>
      </c>
      <c r="Q133">
        <f>COUNTIFS(Absensi!$D131:$ND131,"CS",Absensi!$D$2:$ND$2,Q$6)</f>
        <v>0</v>
      </c>
      <c r="R133">
        <f>COUNTIFS(Absensi!$D131:$ND131,"CS",Absensi!$D$2:$ND$2,R$6)</f>
        <v>0</v>
      </c>
      <c r="S133">
        <f>COUNTIFS(Absensi!$D131:$ND131,"CS",Absensi!$D$2:$ND$2,S$6)</f>
        <v>0</v>
      </c>
      <c r="T133">
        <f>COUNTIFS(Absensi!$D131:$ND131,"CS",Absensi!$D$2:$ND$2,T$6)</f>
        <v>0</v>
      </c>
      <c r="U133">
        <f>COUNTIFS(Absensi!$D131:$ND131,"CS",Absensi!$D$2:$ND$2,U$6)</f>
        <v>0</v>
      </c>
      <c r="V133">
        <f>COUNTIFS(Absensi!$D131:$ND131,"CS",Absensi!$D$2:$ND$2,V$6)</f>
        <v>0</v>
      </c>
      <c r="W133">
        <f>COUNTIFS(Absensi!$D131:$ND131,"CS",Absensi!$D$2:$ND$2,W$6)</f>
        <v>0</v>
      </c>
      <c r="X133">
        <f>COUNTIFS(Absensi!$D131:$ND131,"CS",Absensi!$D$2:$ND$2,X$6)</f>
        <v>0</v>
      </c>
      <c r="Y133">
        <f>COUNTIFS(Absensi!$D131:$ND131,"CS",Absensi!$D$2:$ND$2,Y$6)</f>
        <v>0</v>
      </c>
      <c r="Z133">
        <f>COUNTIFS(Absensi!$D131:$ND131,"CS",Absensi!$D$2:$ND$2,Z$6)</f>
        <v>0</v>
      </c>
      <c r="AA133">
        <f>COUNTIFS(Absensi!$D131:$ND131,"CS",Absensi!$D$2:$ND$2,AA$6)</f>
        <v>0</v>
      </c>
      <c r="AB133">
        <f>COUNTIFS(Absensi!$D131:$ND131,"CS",Absensi!$D$2:$ND$2,AB$6)</f>
        <v>0</v>
      </c>
      <c r="AC133">
        <f t="shared" si="14"/>
        <v>12</v>
      </c>
      <c r="AD133">
        <f t="shared" si="15"/>
        <v>12</v>
      </c>
      <c r="AE133">
        <f t="shared" si="16"/>
        <v>12</v>
      </c>
      <c r="AF133">
        <f t="shared" si="17"/>
        <v>12</v>
      </c>
      <c r="AG133">
        <f t="shared" si="18"/>
        <v>12</v>
      </c>
      <c r="AH133">
        <f t="shared" si="19"/>
        <v>12</v>
      </c>
      <c r="AI133">
        <f t="shared" si="20"/>
        <v>12</v>
      </c>
      <c r="AJ133">
        <f t="shared" si="21"/>
        <v>12</v>
      </c>
      <c r="AK133">
        <f t="shared" si="22"/>
        <v>12</v>
      </c>
      <c r="AL133">
        <f t="shared" si="23"/>
        <v>12</v>
      </c>
      <c r="AM133">
        <f t="shared" si="24"/>
        <v>12</v>
      </c>
      <c r="AN133">
        <f t="shared" si="25"/>
        <v>12</v>
      </c>
    </row>
    <row r="134" spans="1:40" ht="30" x14ac:dyDescent="0.25">
      <c r="A134" s="26">
        <v>128</v>
      </c>
      <c r="B134" s="27" t="str">
        <f>Absensi!B132</f>
        <v>Kebayoran Lama</v>
      </c>
      <c r="C134" s="27" t="str">
        <f>Rekap!C134</f>
        <v>M. Yasir Ubaidilla</v>
      </c>
      <c r="D134" s="46" t="str">
        <f t="shared" si="26"/>
        <v>Kebayoran LamaM. Yasir Ubaidilla</v>
      </c>
      <c r="E134">
        <f>COUNTIFS(Absensi!$D132:$ND132,"C",Absensi!$D$2:$ND$2,E$6)</f>
        <v>12</v>
      </c>
      <c r="F134">
        <f>COUNTIFS(Absensi!$D132:$ND132,"C",Absensi!$D$2:$ND$2,F$6)</f>
        <v>0</v>
      </c>
      <c r="G134">
        <f>COUNTIFS(Absensi!$D132:$ND132,"C",Absensi!$D$2:$ND$2,G$6)</f>
        <v>0</v>
      </c>
      <c r="H134">
        <f>COUNTIFS(Absensi!$D132:$ND132,"C",Absensi!$D$2:$ND$2,H$6)</f>
        <v>0</v>
      </c>
      <c r="I134">
        <f>COUNTIFS(Absensi!$D132:$ND132,"C",Absensi!$D$2:$ND$2,I$6)</f>
        <v>0</v>
      </c>
      <c r="J134">
        <f>COUNTIFS(Absensi!$D132:$ND132,"C",Absensi!$D$2:$ND$2,J$6)</f>
        <v>0</v>
      </c>
      <c r="K134">
        <f>COUNTIFS(Absensi!$D132:$ND132,"C",Absensi!$D$2:$ND$2,K$6)</f>
        <v>0</v>
      </c>
      <c r="L134">
        <f>COUNTIFS(Absensi!$D132:$ND132,"C",Absensi!$D$2:$ND$2,L$6)</f>
        <v>0</v>
      </c>
      <c r="M134">
        <f>COUNTIFS(Absensi!$D132:$ND132,"C",Absensi!$D$2:$ND$2,M$6)</f>
        <v>0</v>
      </c>
      <c r="N134">
        <f>COUNTIFS(Absensi!$D132:$ND132,"C",Absensi!$D$2:$ND$2,N$6)</f>
        <v>0</v>
      </c>
      <c r="O134">
        <f>COUNTIFS(Absensi!$D132:$ND132,"C",Absensi!$D$2:$ND$2,O$6)</f>
        <v>0</v>
      </c>
      <c r="P134">
        <f>COUNTIFS(Absensi!$D132:$ND132,"C",Absensi!$D$2:$ND$2,P$6)</f>
        <v>0</v>
      </c>
      <c r="Q134">
        <f>COUNTIFS(Absensi!$D132:$ND132,"CS",Absensi!$D$2:$ND$2,Q$6)</f>
        <v>0</v>
      </c>
      <c r="R134">
        <f>COUNTIFS(Absensi!$D132:$ND132,"CS",Absensi!$D$2:$ND$2,R$6)</f>
        <v>0</v>
      </c>
      <c r="S134">
        <f>COUNTIFS(Absensi!$D132:$ND132,"CS",Absensi!$D$2:$ND$2,S$6)</f>
        <v>0</v>
      </c>
      <c r="T134">
        <f>COUNTIFS(Absensi!$D132:$ND132,"CS",Absensi!$D$2:$ND$2,T$6)</f>
        <v>0</v>
      </c>
      <c r="U134">
        <f>COUNTIFS(Absensi!$D132:$ND132,"CS",Absensi!$D$2:$ND$2,U$6)</f>
        <v>0</v>
      </c>
      <c r="V134">
        <f>COUNTIFS(Absensi!$D132:$ND132,"CS",Absensi!$D$2:$ND$2,V$6)</f>
        <v>0</v>
      </c>
      <c r="W134">
        <f>COUNTIFS(Absensi!$D132:$ND132,"CS",Absensi!$D$2:$ND$2,W$6)</f>
        <v>0</v>
      </c>
      <c r="X134">
        <f>COUNTIFS(Absensi!$D132:$ND132,"CS",Absensi!$D$2:$ND$2,X$6)</f>
        <v>0</v>
      </c>
      <c r="Y134">
        <f>COUNTIFS(Absensi!$D132:$ND132,"CS",Absensi!$D$2:$ND$2,Y$6)</f>
        <v>0</v>
      </c>
      <c r="Z134">
        <f>COUNTIFS(Absensi!$D132:$ND132,"CS",Absensi!$D$2:$ND$2,Z$6)</f>
        <v>0</v>
      </c>
      <c r="AA134">
        <f>COUNTIFS(Absensi!$D132:$ND132,"CS",Absensi!$D$2:$ND$2,AA$6)</f>
        <v>0</v>
      </c>
      <c r="AB134">
        <f>COUNTIFS(Absensi!$D132:$ND132,"CS",Absensi!$D$2:$ND$2,AB$6)</f>
        <v>0</v>
      </c>
      <c r="AC134">
        <f t="shared" si="14"/>
        <v>0</v>
      </c>
      <c r="AD134">
        <f t="shared" si="15"/>
        <v>0</v>
      </c>
      <c r="AE134">
        <f t="shared" si="16"/>
        <v>0</v>
      </c>
      <c r="AF134">
        <f t="shared" si="17"/>
        <v>0</v>
      </c>
      <c r="AG134">
        <f t="shared" si="18"/>
        <v>0</v>
      </c>
      <c r="AH134">
        <f t="shared" si="19"/>
        <v>0</v>
      </c>
      <c r="AI134">
        <f t="shared" si="20"/>
        <v>0</v>
      </c>
      <c r="AJ134">
        <f t="shared" si="21"/>
        <v>0</v>
      </c>
      <c r="AK134">
        <f t="shared" si="22"/>
        <v>0</v>
      </c>
      <c r="AL134">
        <f t="shared" si="23"/>
        <v>0</v>
      </c>
      <c r="AM134">
        <f t="shared" si="24"/>
        <v>0</v>
      </c>
      <c r="AN134">
        <f t="shared" si="25"/>
        <v>0</v>
      </c>
    </row>
    <row r="135" spans="1:40" ht="30" x14ac:dyDescent="0.25">
      <c r="A135" s="26">
        <v>129</v>
      </c>
      <c r="B135" s="27" t="str">
        <f>Absensi!B133</f>
        <v>Kebayoran Lama</v>
      </c>
      <c r="C135" s="27" t="str">
        <f>Rekap!C135</f>
        <v>Gozali Nurdin</v>
      </c>
      <c r="D135" s="46" t="str">
        <f t="shared" si="26"/>
        <v>Kebayoran LamaGozali Nurdin</v>
      </c>
      <c r="E135">
        <f>COUNTIFS(Absensi!$D133:$ND133,"C",Absensi!$D$2:$ND$2,E$6)</f>
        <v>0</v>
      </c>
      <c r="F135">
        <f>COUNTIFS(Absensi!$D133:$ND133,"C",Absensi!$D$2:$ND$2,F$6)</f>
        <v>0</v>
      </c>
      <c r="G135">
        <f>COUNTIFS(Absensi!$D133:$ND133,"C",Absensi!$D$2:$ND$2,G$6)</f>
        <v>0</v>
      </c>
      <c r="H135">
        <f>COUNTIFS(Absensi!$D133:$ND133,"C",Absensi!$D$2:$ND$2,H$6)</f>
        <v>0</v>
      </c>
      <c r="I135">
        <f>COUNTIFS(Absensi!$D133:$ND133,"C",Absensi!$D$2:$ND$2,I$6)</f>
        <v>0</v>
      </c>
      <c r="J135">
        <f>COUNTIFS(Absensi!$D133:$ND133,"C",Absensi!$D$2:$ND$2,J$6)</f>
        <v>0</v>
      </c>
      <c r="K135">
        <f>COUNTIFS(Absensi!$D133:$ND133,"C",Absensi!$D$2:$ND$2,K$6)</f>
        <v>0</v>
      </c>
      <c r="L135">
        <f>COUNTIFS(Absensi!$D133:$ND133,"C",Absensi!$D$2:$ND$2,L$6)</f>
        <v>0</v>
      </c>
      <c r="M135">
        <f>COUNTIFS(Absensi!$D133:$ND133,"C",Absensi!$D$2:$ND$2,M$6)</f>
        <v>0</v>
      </c>
      <c r="N135">
        <f>COUNTIFS(Absensi!$D133:$ND133,"C",Absensi!$D$2:$ND$2,N$6)</f>
        <v>0</v>
      </c>
      <c r="O135">
        <f>COUNTIFS(Absensi!$D133:$ND133,"C",Absensi!$D$2:$ND$2,O$6)</f>
        <v>0</v>
      </c>
      <c r="P135">
        <f>COUNTIFS(Absensi!$D133:$ND133,"C",Absensi!$D$2:$ND$2,P$6)</f>
        <v>0</v>
      </c>
      <c r="Q135">
        <f>COUNTIFS(Absensi!$D133:$ND133,"CS",Absensi!$D$2:$ND$2,Q$6)</f>
        <v>0</v>
      </c>
      <c r="R135">
        <f>COUNTIFS(Absensi!$D133:$ND133,"CS",Absensi!$D$2:$ND$2,R$6)</f>
        <v>0</v>
      </c>
      <c r="S135">
        <f>COUNTIFS(Absensi!$D133:$ND133,"CS",Absensi!$D$2:$ND$2,S$6)</f>
        <v>0</v>
      </c>
      <c r="T135">
        <f>COUNTIFS(Absensi!$D133:$ND133,"CS",Absensi!$D$2:$ND$2,T$6)</f>
        <v>0</v>
      </c>
      <c r="U135">
        <f>COUNTIFS(Absensi!$D133:$ND133,"CS",Absensi!$D$2:$ND$2,U$6)</f>
        <v>0</v>
      </c>
      <c r="V135">
        <f>COUNTIFS(Absensi!$D133:$ND133,"CS",Absensi!$D$2:$ND$2,V$6)</f>
        <v>0</v>
      </c>
      <c r="W135">
        <f>COUNTIFS(Absensi!$D133:$ND133,"CS",Absensi!$D$2:$ND$2,W$6)</f>
        <v>0</v>
      </c>
      <c r="X135">
        <f>COUNTIFS(Absensi!$D133:$ND133,"CS",Absensi!$D$2:$ND$2,X$6)</f>
        <v>0</v>
      </c>
      <c r="Y135">
        <f>COUNTIFS(Absensi!$D133:$ND133,"CS",Absensi!$D$2:$ND$2,Y$6)</f>
        <v>0</v>
      </c>
      <c r="Z135">
        <f>COUNTIFS(Absensi!$D133:$ND133,"CS",Absensi!$D$2:$ND$2,Z$6)</f>
        <v>0</v>
      </c>
      <c r="AA135">
        <f>COUNTIFS(Absensi!$D133:$ND133,"CS",Absensi!$D$2:$ND$2,AA$6)</f>
        <v>0</v>
      </c>
      <c r="AB135">
        <f>COUNTIFS(Absensi!$D133:$ND133,"CS",Absensi!$D$2:$ND$2,AB$6)</f>
        <v>0</v>
      </c>
      <c r="AC135">
        <f t="shared" si="14"/>
        <v>12</v>
      </c>
      <c r="AD135">
        <f t="shared" si="15"/>
        <v>12</v>
      </c>
      <c r="AE135">
        <f t="shared" si="16"/>
        <v>12</v>
      </c>
      <c r="AF135">
        <f t="shared" si="17"/>
        <v>12</v>
      </c>
      <c r="AG135">
        <f t="shared" si="18"/>
        <v>12</v>
      </c>
      <c r="AH135">
        <f t="shared" si="19"/>
        <v>12</v>
      </c>
      <c r="AI135">
        <f t="shared" si="20"/>
        <v>12</v>
      </c>
      <c r="AJ135">
        <f t="shared" si="21"/>
        <v>12</v>
      </c>
      <c r="AK135">
        <f t="shared" si="22"/>
        <v>12</v>
      </c>
      <c r="AL135">
        <f t="shared" si="23"/>
        <v>12</v>
      </c>
      <c r="AM135">
        <f t="shared" si="24"/>
        <v>12</v>
      </c>
      <c r="AN135">
        <f t="shared" si="25"/>
        <v>12</v>
      </c>
    </row>
    <row r="136" spans="1:40" x14ac:dyDescent="0.25">
      <c r="A136" s="26">
        <v>130</v>
      </c>
      <c r="B136" s="27" t="str">
        <f>Absensi!B134</f>
        <v>Kebayoran Lama</v>
      </c>
      <c r="C136" s="27" t="str">
        <f>Rekap!C136</f>
        <v>Rama Ali</v>
      </c>
      <c r="D136" s="46" t="str">
        <f t="shared" si="26"/>
        <v>Kebayoran LamaRama Ali</v>
      </c>
      <c r="E136">
        <f>COUNTIFS(Absensi!$D134:$ND134,"C",Absensi!$D$2:$ND$2,E$6)</f>
        <v>0</v>
      </c>
      <c r="F136">
        <f>COUNTIFS(Absensi!$D134:$ND134,"C",Absensi!$D$2:$ND$2,F$6)</f>
        <v>0</v>
      </c>
      <c r="G136">
        <f>COUNTIFS(Absensi!$D134:$ND134,"C",Absensi!$D$2:$ND$2,G$6)</f>
        <v>0</v>
      </c>
      <c r="H136">
        <f>COUNTIFS(Absensi!$D134:$ND134,"C",Absensi!$D$2:$ND$2,H$6)</f>
        <v>0</v>
      </c>
      <c r="I136">
        <f>COUNTIFS(Absensi!$D134:$ND134,"C",Absensi!$D$2:$ND$2,I$6)</f>
        <v>6</v>
      </c>
      <c r="J136">
        <f>COUNTIFS(Absensi!$D134:$ND134,"C",Absensi!$D$2:$ND$2,J$6)</f>
        <v>0</v>
      </c>
      <c r="K136">
        <f>COUNTIFS(Absensi!$D134:$ND134,"C",Absensi!$D$2:$ND$2,K$6)</f>
        <v>0</v>
      </c>
      <c r="L136">
        <f>COUNTIFS(Absensi!$D134:$ND134,"C",Absensi!$D$2:$ND$2,L$6)</f>
        <v>0</v>
      </c>
      <c r="M136">
        <f>COUNTIFS(Absensi!$D134:$ND134,"C",Absensi!$D$2:$ND$2,M$6)</f>
        <v>0</v>
      </c>
      <c r="N136">
        <f>COUNTIFS(Absensi!$D134:$ND134,"C",Absensi!$D$2:$ND$2,N$6)</f>
        <v>0</v>
      </c>
      <c r="O136">
        <f>COUNTIFS(Absensi!$D134:$ND134,"C",Absensi!$D$2:$ND$2,O$6)</f>
        <v>0</v>
      </c>
      <c r="P136">
        <f>COUNTIFS(Absensi!$D134:$ND134,"C",Absensi!$D$2:$ND$2,P$6)</f>
        <v>0</v>
      </c>
      <c r="Q136">
        <f>COUNTIFS(Absensi!$D134:$ND134,"CS",Absensi!$D$2:$ND$2,Q$6)</f>
        <v>0</v>
      </c>
      <c r="R136">
        <f>COUNTIFS(Absensi!$D134:$ND134,"CS",Absensi!$D$2:$ND$2,R$6)</f>
        <v>0</v>
      </c>
      <c r="S136">
        <f>COUNTIFS(Absensi!$D134:$ND134,"CS",Absensi!$D$2:$ND$2,S$6)</f>
        <v>0</v>
      </c>
      <c r="T136">
        <f>COUNTIFS(Absensi!$D134:$ND134,"CS",Absensi!$D$2:$ND$2,T$6)</f>
        <v>0</v>
      </c>
      <c r="U136">
        <f>COUNTIFS(Absensi!$D134:$ND134,"CS",Absensi!$D$2:$ND$2,U$6)</f>
        <v>0</v>
      </c>
      <c r="V136">
        <f>COUNTIFS(Absensi!$D134:$ND134,"CS",Absensi!$D$2:$ND$2,V$6)</f>
        <v>0</v>
      </c>
      <c r="W136">
        <f>COUNTIFS(Absensi!$D134:$ND134,"CS",Absensi!$D$2:$ND$2,W$6)</f>
        <v>0</v>
      </c>
      <c r="X136">
        <f>COUNTIFS(Absensi!$D134:$ND134,"CS",Absensi!$D$2:$ND$2,X$6)</f>
        <v>0</v>
      </c>
      <c r="Y136">
        <f>COUNTIFS(Absensi!$D134:$ND134,"CS",Absensi!$D$2:$ND$2,Y$6)</f>
        <v>0</v>
      </c>
      <c r="Z136">
        <f>COUNTIFS(Absensi!$D134:$ND134,"CS",Absensi!$D$2:$ND$2,Z$6)</f>
        <v>0</v>
      </c>
      <c r="AA136">
        <f>COUNTIFS(Absensi!$D134:$ND134,"CS",Absensi!$D$2:$ND$2,AA$6)</f>
        <v>0</v>
      </c>
      <c r="AB136">
        <f>COUNTIFS(Absensi!$D134:$ND134,"CS",Absensi!$D$2:$ND$2,AB$6)</f>
        <v>0</v>
      </c>
      <c r="AC136">
        <f t="shared" ref="AC136:AC150" si="27">12-E136-Q136*0.5</f>
        <v>12</v>
      </c>
      <c r="AD136">
        <f t="shared" ref="AD136:AD150" si="28">AC136-F136-R136*0.5</f>
        <v>12</v>
      </c>
      <c r="AE136">
        <f t="shared" ref="AE136:AE150" si="29">AD136-G136-S136*0.5</f>
        <v>12</v>
      </c>
      <c r="AF136">
        <f t="shared" ref="AF136:AF150" si="30">AE136-H136-T136*0.5</f>
        <v>12</v>
      </c>
      <c r="AG136">
        <f t="shared" ref="AG136:AG150" si="31">AF136-I136-U136*0.5</f>
        <v>6</v>
      </c>
      <c r="AH136">
        <f t="shared" ref="AH136:AH150" si="32">AG136-J136-V136*0.5</f>
        <v>6</v>
      </c>
      <c r="AI136">
        <f t="shared" ref="AI136:AI150" si="33">AH136-K136-W136*0.5</f>
        <v>6</v>
      </c>
      <c r="AJ136">
        <f t="shared" ref="AJ136:AJ150" si="34">AI136-L136-X136*0.5</f>
        <v>6</v>
      </c>
      <c r="AK136">
        <f t="shared" ref="AK136:AK150" si="35">AJ136-M136-Y136*0.5</f>
        <v>6</v>
      </c>
      <c r="AL136">
        <f t="shared" ref="AL136:AL150" si="36">AK136-N136-Z136*0.5</f>
        <v>6</v>
      </c>
      <c r="AM136">
        <f t="shared" ref="AM136:AM150" si="37">AL136-O136-AA136*0.5</f>
        <v>6</v>
      </c>
      <c r="AN136">
        <f t="shared" ref="AN136:AN150" si="38">AM136-P136-AB136*0.5</f>
        <v>6</v>
      </c>
    </row>
    <row r="137" spans="1:40" x14ac:dyDescent="0.25">
      <c r="A137" s="26">
        <v>131</v>
      </c>
      <c r="B137" s="27" t="str">
        <f>Absensi!B135</f>
        <v>Fishroom</v>
      </c>
      <c r="C137" s="27" t="str">
        <f>Rekap!C137</f>
        <v>Agus Triyana</v>
      </c>
      <c r="D137" s="46" t="str">
        <f t="shared" si="26"/>
        <v>FishroomAgus Triyana</v>
      </c>
      <c r="E137">
        <f>COUNTIFS(Absensi!$D135:$ND135,"C",Absensi!$D$2:$ND$2,E$6)</f>
        <v>12</v>
      </c>
      <c r="F137">
        <f>COUNTIFS(Absensi!$D135:$ND135,"C",Absensi!$D$2:$ND$2,F$6)</f>
        <v>0</v>
      </c>
      <c r="G137">
        <f>COUNTIFS(Absensi!$D135:$ND135,"C",Absensi!$D$2:$ND$2,G$6)</f>
        <v>0</v>
      </c>
      <c r="H137">
        <f>COUNTIFS(Absensi!$D135:$ND135,"C",Absensi!$D$2:$ND$2,H$6)</f>
        <v>0</v>
      </c>
      <c r="I137">
        <f>COUNTIFS(Absensi!$D135:$ND135,"C",Absensi!$D$2:$ND$2,I$6)</f>
        <v>0</v>
      </c>
      <c r="J137">
        <f>COUNTIFS(Absensi!$D135:$ND135,"C",Absensi!$D$2:$ND$2,J$6)</f>
        <v>0</v>
      </c>
      <c r="K137">
        <f>COUNTIFS(Absensi!$D135:$ND135,"C",Absensi!$D$2:$ND$2,K$6)</f>
        <v>3</v>
      </c>
      <c r="L137">
        <f>COUNTIFS(Absensi!$D135:$ND135,"C",Absensi!$D$2:$ND$2,L$6)</f>
        <v>0</v>
      </c>
      <c r="M137">
        <f>COUNTIFS(Absensi!$D135:$ND135,"C",Absensi!$D$2:$ND$2,M$6)</f>
        <v>5</v>
      </c>
      <c r="N137">
        <f>COUNTIFS(Absensi!$D135:$ND135,"C",Absensi!$D$2:$ND$2,N$6)</f>
        <v>5</v>
      </c>
      <c r="O137">
        <f>COUNTIFS(Absensi!$D135:$ND135,"C",Absensi!$D$2:$ND$2,O$6)</f>
        <v>0</v>
      </c>
      <c r="P137">
        <f>COUNTIFS(Absensi!$D135:$ND135,"C",Absensi!$D$2:$ND$2,P$6)</f>
        <v>0</v>
      </c>
      <c r="Q137">
        <f>COUNTIFS(Absensi!$D135:$ND135,"CS",Absensi!$D$2:$ND$2,Q$6)</f>
        <v>0</v>
      </c>
      <c r="R137">
        <f>COUNTIFS(Absensi!$D135:$ND135,"CS",Absensi!$D$2:$ND$2,R$6)</f>
        <v>0</v>
      </c>
      <c r="S137">
        <f>COUNTIFS(Absensi!$D135:$ND135,"CS",Absensi!$D$2:$ND$2,S$6)</f>
        <v>0</v>
      </c>
      <c r="T137">
        <f>COUNTIFS(Absensi!$D135:$ND135,"CS",Absensi!$D$2:$ND$2,T$6)</f>
        <v>0</v>
      </c>
      <c r="U137">
        <f>COUNTIFS(Absensi!$D135:$ND135,"CS",Absensi!$D$2:$ND$2,U$6)</f>
        <v>0</v>
      </c>
      <c r="V137">
        <f>COUNTIFS(Absensi!$D135:$ND135,"CS",Absensi!$D$2:$ND$2,V$6)</f>
        <v>0</v>
      </c>
      <c r="W137">
        <f>COUNTIFS(Absensi!$D135:$ND135,"CS",Absensi!$D$2:$ND$2,W$6)</f>
        <v>0</v>
      </c>
      <c r="X137">
        <f>COUNTIFS(Absensi!$D135:$ND135,"CS",Absensi!$D$2:$ND$2,X$6)</f>
        <v>0</v>
      </c>
      <c r="Y137">
        <f>COUNTIFS(Absensi!$D135:$ND135,"CS",Absensi!$D$2:$ND$2,Y$6)</f>
        <v>0</v>
      </c>
      <c r="Z137">
        <f>COUNTIFS(Absensi!$D135:$ND135,"CS",Absensi!$D$2:$ND$2,Z$6)</f>
        <v>0</v>
      </c>
      <c r="AA137">
        <f>COUNTIFS(Absensi!$D135:$ND135,"CS",Absensi!$D$2:$ND$2,AA$6)</f>
        <v>0</v>
      </c>
      <c r="AB137">
        <f>COUNTIFS(Absensi!$D135:$ND135,"CS",Absensi!$D$2:$ND$2,AB$6)</f>
        <v>0</v>
      </c>
      <c r="AC137">
        <f t="shared" si="27"/>
        <v>0</v>
      </c>
      <c r="AD137">
        <f t="shared" si="28"/>
        <v>0</v>
      </c>
      <c r="AE137">
        <f t="shared" si="29"/>
        <v>0</v>
      </c>
      <c r="AF137">
        <f t="shared" si="30"/>
        <v>0</v>
      </c>
      <c r="AG137">
        <f t="shared" si="31"/>
        <v>0</v>
      </c>
      <c r="AH137">
        <f t="shared" si="32"/>
        <v>0</v>
      </c>
      <c r="AI137">
        <f t="shared" si="33"/>
        <v>-3</v>
      </c>
      <c r="AJ137">
        <f t="shared" si="34"/>
        <v>-3</v>
      </c>
      <c r="AK137">
        <f t="shared" si="35"/>
        <v>-8</v>
      </c>
      <c r="AL137">
        <f t="shared" si="36"/>
        <v>-13</v>
      </c>
      <c r="AM137">
        <f t="shared" si="37"/>
        <v>-13</v>
      </c>
      <c r="AN137">
        <f t="shared" si="38"/>
        <v>-13</v>
      </c>
    </row>
    <row r="138" spans="1:40" ht="30" x14ac:dyDescent="0.25">
      <c r="A138" s="26">
        <v>132</v>
      </c>
      <c r="B138" s="27" t="str">
        <f>Absensi!B136</f>
        <v>Kebayoran Lama</v>
      </c>
      <c r="C138" s="27" t="str">
        <f>Rekap!C138</f>
        <v>Samsul Muarip</v>
      </c>
      <c r="D138" s="46" t="str">
        <f t="shared" si="26"/>
        <v>Kebayoran LamaSamsul Muarip</v>
      </c>
      <c r="E138">
        <f>COUNTIFS(Absensi!$D136:$ND136,"C",Absensi!$D$2:$ND$2,E$6)</f>
        <v>12</v>
      </c>
      <c r="F138">
        <f>COUNTIFS(Absensi!$D136:$ND136,"C",Absensi!$D$2:$ND$2,F$6)</f>
        <v>0</v>
      </c>
      <c r="G138">
        <f>COUNTIFS(Absensi!$D136:$ND136,"C",Absensi!$D$2:$ND$2,G$6)</f>
        <v>0</v>
      </c>
      <c r="H138">
        <f>COUNTIFS(Absensi!$D136:$ND136,"C",Absensi!$D$2:$ND$2,H$6)</f>
        <v>0</v>
      </c>
      <c r="I138">
        <f>COUNTIFS(Absensi!$D136:$ND136,"C",Absensi!$D$2:$ND$2,I$6)</f>
        <v>0</v>
      </c>
      <c r="J138">
        <f>COUNTIFS(Absensi!$D136:$ND136,"C",Absensi!$D$2:$ND$2,J$6)</f>
        <v>0</v>
      </c>
      <c r="K138">
        <f>COUNTIFS(Absensi!$D136:$ND136,"C",Absensi!$D$2:$ND$2,K$6)</f>
        <v>1</v>
      </c>
      <c r="L138">
        <f>COUNTIFS(Absensi!$D136:$ND136,"C",Absensi!$D$2:$ND$2,L$6)</f>
        <v>0</v>
      </c>
      <c r="M138">
        <f>COUNTIFS(Absensi!$D136:$ND136,"C",Absensi!$D$2:$ND$2,M$6)</f>
        <v>1</v>
      </c>
      <c r="N138">
        <f>COUNTIFS(Absensi!$D136:$ND136,"C",Absensi!$D$2:$ND$2,N$6)</f>
        <v>1</v>
      </c>
      <c r="O138">
        <f>COUNTIFS(Absensi!$D136:$ND136,"C",Absensi!$D$2:$ND$2,O$6)</f>
        <v>0</v>
      </c>
      <c r="P138">
        <f>COUNTIFS(Absensi!$D136:$ND136,"C",Absensi!$D$2:$ND$2,P$6)</f>
        <v>0</v>
      </c>
      <c r="Q138">
        <f>COUNTIFS(Absensi!$D136:$ND136,"CS",Absensi!$D$2:$ND$2,Q$6)</f>
        <v>0</v>
      </c>
      <c r="R138">
        <f>COUNTIFS(Absensi!$D136:$ND136,"CS",Absensi!$D$2:$ND$2,R$6)</f>
        <v>0</v>
      </c>
      <c r="S138">
        <f>COUNTIFS(Absensi!$D136:$ND136,"CS",Absensi!$D$2:$ND$2,S$6)</f>
        <v>0</v>
      </c>
      <c r="T138">
        <f>COUNTIFS(Absensi!$D136:$ND136,"CS",Absensi!$D$2:$ND$2,T$6)</f>
        <v>0</v>
      </c>
      <c r="U138">
        <f>COUNTIFS(Absensi!$D136:$ND136,"CS",Absensi!$D$2:$ND$2,U$6)</f>
        <v>0</v>
      </c>
      <c r="V138">
        <f>COUNTIFS(Absensi!$D136:$ND136,"CS",Absensi!$D$2:$ND$2,V$6)</f>
        <v>0</v>
      </c>
      <c r="W138">
        <f>COUNTIFS(Absensi!$D136:$ND136,"CS",Absensi!$D$2:$ND$2,W$6)</f>
        <v>0</v>
      </c>
      <c r="X138">
        <f>COUNTIFS(Absensi!$D136:$ND136,"CS",Absensi!$D$2:$ND$2,X$6)</f>
        <v>0</v>
      </c>
      <c r="Y138">
        <f>COUNTIFS(Absensi!$D136:$ND136,"CS",Absensi!$D$2:$ND$2,Y$6)</f>
        <v>0</v>
      </c>
      <c r="Z138">
        <f>COUNTIFS(Absensi!$D136:$ND136,"CS",Absensi!$D$2:$ND$2,Z$6)</f>
        <v>0</v>
      </c>
      <c r="AA138">
        <f>COUNTIFS(Absensi!$D136:$ND136,"CS",Absensi!$D$2:$ND$2,AA$6)</f>
        <v>0</v>
      </c>
      <c r="AB138">
        <f>COUNTIFS(Absensi!$D136:$ND136,"CS",Absensi!$D$2:$ND$2,AB$6)</f>
        <v>0</v>
      </c>
      <c r="AC138">
        <f t="shared" si="27"/>
        <v>0</v>
      </c>
      <c r="AD138">
        <f t="shared" si="28"/>
        <v>0</v>
      </c>
      <c r="AE138">
        <f t="shared" si="29"/>
        <v>0</v>
      </c>
      <c r="AF138">
        <f t="shared" si="30"/>
        <v>0</v>
      </c>
      <c r="AG138">
        <f t="shared" si="31"/>
        <v>0</v>
      </c>
      <c r="AH138">
        <f t="shared" si="32"/>
        <v>0</v>
      </c>
      <c r="AI138">
        <f t="shared" si="33"/>
        <v>-1</v>
      </c>
      <c r="AJ138">
        <f t="shared" si="34"/>
        <v>-1</v>
      </c>
      <c r="AK138">
        <f t="shared" si="35"/>
        <v>-2</v>
      </c>
      <c r="AL138">
        <f t="shared" si="36"/>
        <v>-3</v>
      </c>
      <c r="AM138">
        <f t="shared" si="37"/>
        <v>-3</v>
      </c>
      <c r="AN138">
        <f t="shared" si="38"/>
        <v>-3</v>
      </c>
    </row>
    <row r="139" spans="1:40" ht="30" x14ac:dyDescent="0.25">
      <c r="A139" s="26">
        <v>133</v>
      </c>
      <c r="B139" s="27" t="str">
        <f>Absensi!B137</f>
        <v>Kebayoran Lama</v>
      </c>
      <c r="C139" s="27" t="str">
        <f>Rekap!C139</f>
        <v>Ahmad Andhika Pratama</v>
      </c>
      <c r="D139" s="46" t="str">
        <f t="shared" ref="D139:D148" si="39">B139&amp;C139</f>
        <v>Kebayoran LamaAhmad Andhika Pratama</v>
      </c>
      <c r="E139">
        <f>COUNTIFS(Absensi!$D137:$ND137,"C",Absensi!$D$2:$ND$2,E$6)</f>
        <v>0</v>
      </c>
      <c r="F139">
        <f>COUNTIFS(Absensi!$D137:$ND137,"C",Absensi!$D$2:$ND$2,F$6)</f>
        <v>0</v>
      </c>
      <c r="G139">
        <f>COUNTIFS(Absensi!$D137:$ND137,"C",Absensi!$D$2:$ND$2,G$6)</f>
        <v>0</v>
      </c>
      <c r="H139">
        <f>COUNTIFS(Absensi!$D137:$ND137,"C",Absensi!$D$2:$ND$2,H$6)</f>
        <v>0</v>
      </c>
      <c r="I139">
        <f>COUNTIFS(Absensi!$D137:$ND137,"C",Absensi!$D$2:$ND$2,I$6)</f>
        <v>0</v>
      </c>
      <c r="J139">
        <f>COUNTIFS(Absensi!$D137:$ND137,"C",Absensi!$D$2:$ND$2,J$6)</f>
        <v>0</v>
      </c>
      <c r="K139">
        <f>COUNTIFS(Absensi!$D137:$ND137,"C",Absensi!$D$2:$ND$2,K$6)</f>
        <v>0</v>
      </c>
      <c r="L139">
        <f>COUNTIFS(Absensi!$D137:$ND137,"C",Absensi!$D$2:$ND$2,L$6)</f>
        <v>0</v>
      </c>
      <c r="M139">
        <f>COUNTIFS(Absensi!$D137:$ND137,"C",Absensi!$D$2:$ND$2,M$6)</f>
        <v>0</v>
      </c>
      <c r="N139">
        <f>COUNTIFS(Absensi!$D137:$ND137,"C",Absensi!$D$2:$ND$2,N$6)</f>
        <v>0</v>
      </c>
      <c r="O139">
        <f>COUNTIFS(Absensi!$D137:$ND137,"C",Absensi!$D$2:$ND$2,O$6)</f>
        <v>0</v>
      </c>
      <c r="P139">
        <f>COUNTIFS(Absensi!$D137:$ND137,"C",Absensi!$D$2:$ND$2,P$6)</f>
        <v>0</v>
      </c>
      <c r="Q139">
        <f>COUNTIFS(Absensi!$D137:$ND137,"CS",Absensi!$D$2:$ND$2,Q$6)</f>
        <v>0</v>
      </c>
      <c r="R139">
        <f>COUNTIFS(Absensi!$D137:$ND137,"CS",Absensi!$D$2:$ND$2,R$6)</f>
        <v>0</v>
      </c>
      <c r="S139">
        <f>COUNTIFS(Absensi!$D137:$ND137,"CS",Absensi!$D$2:$ND$2,S$6)</f>
        <v>0</v>
      </c>
      <c r="T139">
        <f>COUNTIFS(Absensi!$D137:$ND137,"CS",Absensi!$D$2:$ND$2,T$6)</f>
        <v>0</v>
      </c>
      <c r="U139">
        <f>COUNTIFS(Absensi!$D137:$ND137,"CS",Absensi!$D$2:$ND$2,U$6)</f>
        <v>0</v>
      </c>
      <c r="V139">
        <f>COUNTIFS(Absensi!$D137:$ND137,"CS",Absensi!$D$2:$ND$2,V$6)</f>
        <v>0</v>
      </c>
      <c r="W139">
        <f>COUNTIFS(Absensi!$D137:$ND137,"CS",Absensi!$D$2:$ND$2,W$6)</f>
        <v>0</v>
      </c>
      <c r="X139">
        <f>COUNTIFS(Absensi!$D137:$ND137,"CS",Absensi!$D$2:$ND$2,X$6)</f>
        <v>0</v>
      </c>
      <c r="Y139">
        <f>COUNTIFS(Absensi!$D137:$ND137,"CS",Absensi!$D$2:$ND$2,Y$6)</f>
        <v>0</v>
      </c>
      <c r="Z139">
        <f>COUNTIFS(Absensi!$D137:$ND137,"CS",Absensi!$D$2:$ND$2,Z$6)</f>
        <v>0</v>
      </c>
      <c r="AA139">
        <f>COUNTIFS(Absensi!$D137:$ND137,"CS",Absensi!$D$2:$ND$2,AA$6)</f>
        <v>0</v>
      </c>
      <c r="AB139">
        <f>COUNTIFS(Absensi!$D137:$ND137,"CS",Absensi!$D$2:$ND$2,AB$6)</f>
        <v>0</v>
      </c>
      <c r="AC139">
        <f t="shared" si="27"/>
        <v>12</v>
      </c>
      <c r="AD139">
        <f t="shared" si="28"/>
        <v>12</v>
      </c>
      <c r="AE139">
        <f t="shared" si="29"/>
        <v>12</v>
      </c>
      <c r="AF139">
        <f t="shared" si="30"/>
        <v>12</v>
      </c>
      <c r="AG139">
        <f t="shared" si="31"/>
        <v>12</v>
      </c>
      <c r="AH139">
        <f t="shared" si="32"/>
        <v>12</v>
      </c>
      <c r="AI139">
        <f t="shared" si="33"/>
        <v>12</v>
      </c>
      <c r="AJ139">
        <f t="shared" si="34"/>
        <v>12</v>
      </c>
      <c r="AK139">
        <f t="shared" si="35"/>
        <v>12</v>
      </c>
      <c r="AL139">
        <f t="shared" si="36"/>
        <v>12</v>
      </c>
      <c r="AM139">
        <f t="shared" si="37"/>
        <v>12</v>
      </c>
      <c r="AN139">
        <f t="shared" si="38"/>
        <v>12</v>
      </c>
    </row>
    <row r="140" spans="1:40" x14ac:dyDescent="0.25">
      <c r="A140" s="26">
        <v>134</v>
      </c>
      <c r="B140" s="27" t="str">
        <f>Absensi!B138</f>
        <v>Kebayoran Lama</v>
      </c>
      <c r="C140" s="27" t="str">
        <f>Rekap!C140</f>
        <v>Yon Ali</v>
      </c>
      <c r="D140" s="46" t="str">
        <f t="shared" si="39"/>
        <v>Kebayoran LamaYon Ali</v>
      </c>
      <c r="E140">
        <f>COUNTIFS(Absensi!$D138:$ND138,"C",Absensi!$D$2:$ND$2,E$6)</f>
        <v>12</v>
      </c>
      <c r="F140">
        <f>COUNTIFS(Absensi!$D138:$ND138,"C",Absensi!$D$2:$ND$2,F$6)</f>
        <v>0</v>
      </c>
      <c r="G140">
        <f>COUNTIFS(Absensi!$D138:$ND138,"C",Absensi!$D$2:$ND$2,G$6)</f>
        <v>0</v>
      </c>
      <c r="H140">
        <f>COUNTIFS(Absensi!$D138:$ND138,"C",Absensi!$D$2:$ND$2,H$6)</f>
        <v>0</v>
      </c>
      <c r="I140">
        <f>COUNTIFS(Absensi!$D138:$ND138,"C",Absensi!$D$2:$ND$2,I$6)</f>
        <v>0</v>
      </c>
      <c r="J140">
        <f>COUNTIFS(Absensi!$D138:$ND138,"C",Absensi!$D$2:$ND$2,J$6)</f>
        <v>0</v>
      </c>
      <c r="K140">
        <f>COUNTIFS(Absensi!$D138:$ND138,"C",Absensi!$D$2:$ND$2,K$6)</f>
        <v>0</v>
      </c>
      <c r="L140">
        <f>COUNTIFS(Absensi!$D138:$ND138,"C",Absensi!$D$2:$ND$2,L$6)</f>
        <v>0</v>
      </c>
      <c r="M140">
        <f>COUNTIFS(Absensi!$D138:$ND138,"C",Absensi!$D$2:$ND$2,M$6)</f>
        <v>0</v>
      </c>
      <c r="N140">
        <f>COUNTIFS(Absensi!$D138:$ND138,"C",Absensi!$D$2:$ND$2,N$6)</f>
        <v>0</v>
      </c>
      <c r="O140">
        <f>COUNTIFS(Absensi!$D138:$ND138,"C",Absensi!$D$2:$ND$2,O$6)</f>
        <v>0</v>
      </c>
      <c r="P140">
        <f>COUNTIFS(Absensi!$D138:$ND138,"C",Absensi!$D$2:$ND$2,P$6)</f>
        <v>0</v>
      </c>
      <c r="Q140">
        <f>COUNTIFS(Absensi!$D138:$ND138,"CS",Absensi!$D$2:$ND$2,Q$6)</f>
        <v>0</v>
      </c>
      <c r="R140">
        <f>COUNTIFS(Absensi!$D138:$ND138,"CS",Absensi!$D$2:$ND$2,R$6)</f>
        <v>0</v>
      </c>
      <c r="S140">
        <f>COUNTIFS(Absensi!$D138:$ND138,"CS",Absensi!$D$2:$ND$2,S$6)</f>
        <v>0</v>
      </c>
      <c r="T140">
        <f>COUNTIFS(Absensi!$D138:$ND138,"CS",Absensi!$D$2:$ND$2,T$6)</f>
        <v>0</v>
      </c>
      <c r="U140">
        <f>COUNTIFS(Absensi!$D138:$ND138,"CS",Absensi!$D$2:$ND$2,U$6)</f>
        <v>0</v>
      </c>
      <c r="V140">
        <f>COUNTIFS(Absensi!$D138:$ND138,"CS",Absensi!$D$2:$ND$2,V$6)</f>
        <v>0</v>
      </c>
      <c r="W140">
        <f>COUNTIFS(Absensi!$D138:$ND138,"CS",Absensi!$D$2:$ND$2,W$6)</f>
        <v>0</v>
      </c>
      <c r="X140">
        <f>COUNTIFS(Absensi!$D138:$ND138,"CS",Absensi!$D$2:$ND$2,X$6)</f>
        <v>0</v>
      </c>
      <c r="Y140">
        <f>COUNTIFS(Absensi!$D138:$ND138,"CS",Absensi!$D$2:$ND$2,Y$6)</f>
        <v>0</v>
      </c>
      <c r="Z140">
        <f>COUNTIFS(Absensi!$D138:$ND138,"CS",Absensi!$D$2:$ND$2,Z$6)</f>
        <v>0</v>
      </c>
      <c r="AA140">
        <f>COUNTIFS(Absensi!$D138:$ND138,"CS",Absensi!$D$2:$ND$2,AA$6)</f>
        <v>0</v>
      </c>
      <c r="AB140">
        <f>COUNTIFS(Absensi!$D138:$ND138,"CS",Absensi!$D$2:$ND$2,AB$6)</f>
        <v>0</v>
      </c>
      <c r="AC140">
        <f t="shared" si="27"/>
        <v>0</v>
      </c>
      <c r="AD140">
        <f t="shared" si="28"/>
        <v>0</v>
      </c>
      <c r="AE140">
        <f t="shared" si="29"/>
        <v>0</v>
      </c>
      <c r="AF140">
        <f t="shared" si="30"/>
        <v>0</v>
      </c>
      <c r="AG140">
        <f t="shared" si="31"/>
        <v>0</v>
      </c>
      <c r="AH140">
        <f t="shared" si="32"/>
        <v>0</v>
      </c>
      <c r="AI140">
        <f t="shared" si="33"/>
        <v>0</v>
      </c>
      <c r="AJ140">
        <f t="shared" si="34"/>
        <v>0</v>
      </c>
      <c r="AK140">
        <f t="shared" si="35"/>
        <v>0</v>
      </c>
      <c r="AL140">
        <f t="shared" si="36"/>
        <v>0</v>
      </c>
      <c r="AM140">
        <f t="shared" si="37"/>
        <v>0</v>
      </c>
      <c r="AN140">
        <f t="shared" si="38"/>
        <v>0</v>
      </c>
    </row>
    <row r="141" spans="1:40" ht="30" x14ac:dyDescent="0.25">
      <c r="A141" s="26">
        <v>135</v>
      </c>
      <c r="B141" s="27" t="str">
        <f>Absensi!B139</f>
        <v>Kebayoran Lama</v>
      </c>
      <c r="C141" s="27" t="str">
        <f>Rekap!C141</f>
        <v>Ahmad Aji Jabbar</v>
      </c>
      <c r="D141" s="46" t="str">
        <f t="shared" si="39"/>
        <v>Kebayoran LamaAhmad Aji Jabbar</v>
      </c>
      <c r="E141">
        <f>COUNTIFS(Absensi!$D139:$ND139,"C",Absensi!$D$2:$ND$2,E$6)</f>
        <v>12</v>
      </c>
      <c r="F141">
        <f>COUNTIFS(Absensi!$D139:$ND139,"C",Absensi!$D$2:$ND$2,F$6)</f>
        <v>0</v>
      </c>
      <c r="G141">
        <f>COUNTIFS(Absensi!$D139:$ND139,"C",Absensi!$D$2:$ND$2,G$6)</f>
        <v>0</v>
      </c>
      <c r="H141">
        <f>COUNTIFS(Absensi!$D139:$ND139,"C",Absensi!$D$2:$ND$2,H$6)</f>
        <v>0</v>
      </c>
      <c r="I141">
        <f>COUNTIFS(Absensi!$D139:$ND139,"C",Absensi!$D$2:$ND$2,I$6)</f>
        <v>0</v>
      </c>
      <c r="J141">
        <f>COUNTIFS(Absensi!$D139:$ND139,"C",Absensi!$D$2:$ND$2,J$6)</f>
        <v>0</v>
      </c>
      <c r="K141">
        <f>COUNTIFS(Absensi!$D139:$ND139,"C",Absensi!$D$2:$ND$2,K$6)</f>
        <v>0</v>
      </c>
      <c r="L141">
        <f>COUNTIFS(Absensi!$D139:$ND139,"C",Absensi!$D$2:$ND$2,L$6)</f>
        <v>0</v>
      </c>
      <c r="M141">
        <f>COUNTIFS(Absensi!$D139:$ND139,"C",Absensi!$D$2:$ND$2,M$6)</f>
        <v>0</v>
      </c>
      <c r="N141">
        <f>COUNTIFS(Absensi!$D139:$ND139,"C",Absensi!$D$2:$ND$2,N$6)</f>
        <v>0</v>
      </c>
      <c r="O141">
        <f>COUNTIFS(Absensi!$D139:$ND139,"C",Absensi!$D$2:$ND$2,O$6)</f>
        <v>0</v>
      </c>
      <c r="P141">
        <f>COUNTIFS(Absensi!$D139:$ND139,"C",Absensi!$D$2:$ND$2,P$6)</f>
        <v>0</v>
      </c>
      <c r="Q141">
        <f>COUNTIFS(Absensi!$D139:$ND139,"CS",Absensi!$D$2:$ND$2,Q$6)</f>
        <v>0</v>
      </c>
      <c r="R141">
        <f>COUNTIFS(Absensi!$D139:$ND139,"CS",Absensi!$D$2:$ND$2,R$6)</f>
        <v>0</v>
      </c>
      <c r="S141">
        <f>COUNTIFS(Absensi!$D139:$ND139,"CS",Absensi!$D$2:$ND$2,S$6)</f>
        <v>0</v>
      </c>
      <c r="T141">
        <f>COUNTIFS(Absensi!$D139:$ND139,"CS",Absensi!$D$2:$ND$2,T$6)</f>
        <v>0</v>
      </c>
      <c r="U141">
        <f>COUNTIFS(Absensi!$D139:$ND139,"CS",Absensi!$D$2:$ND$2,U$6)</f>
        <v>0</v>
      </c>
      <c r="V141">
        <f>COUNTIFS(Absensi!$D139:$ND139,"CS",Absensi!$D$2:$ND$2,V$6)</f>
        <v>0</v>
      </c>
      <c r="W141">
        <f>COUNTIFS(Absensi!$D139:$ND139,"CS",Absensi!$D$2:$ND$2,W$6)</f>
        <v>0</v>
      </c>
      <c r="X141">
        <f>COUNTIFS(Absensi!$D139:$ND139,"CS",Absensi!$D$2:$ND$2,X$6)</f>
        <v>0</v>
      </c>
      <c r="Y141">
        <f>COUNTIFS(Absensi!$D139:$ND139,"CS",Absensi!$D$2:$ND$2,Y$6)</f>
        <v>0</v>
      </c>
      <c r="Z141">
        <f>COUNTIFS(Absensi!$D139:$ND139,"CS",Absensi!$D$2:$ND$2,Z$6)</f>
        <v>0</v>
      </c>
      <c r="AA141">
        <f>COUNTIFS(Absensi!$D139:$ND139,"CS",Absensi!$D$2:$ND$2,AA$6)</f>
        <v>0</v>
      </c>
      <c r="AB141">
        <f>COUNTIFS(Absensi!$D139:$ND139,"CS",Absensi!$D$2:$ND$2,AB$6)</f>
        <v>0</v>
      </c>
      <c r="AC141">
        <f t="shared" si="27"/>
        <v>0</v>
      </c>
      <c r="AD141">
        <f t="shared" si="28"/>
        <v>0</v>
      </c>
      <c r="AE141">
        <f t="shared" si="29"/>
        <v>0</v>
      </c>
      <c r="AF141">
        <f t="shared" si="30"/>
        <v>0</v>
      </c>
      <c r="AG141">
        <f t="shared" si="31"/>
        <v>0</v>
      </c>
      <c r="AH141">
        <f t="shared" si="32"/>
        <v>0</v>
      </c>
      <c r="AI141">
        <f t="shared" si="33"/>
        <v>0</v>
      </c>
      <c r="AJ141">
        <f t="shared" si="34"/>
        <v>0</v>
      </c>
      <c r="AK141">
        <f t="shared" si="35"/>
        <v>0</v>
      </c>
      <c r="AL141">
        <f t="shared" si="36"/>
        <v>0</v>
      </c>
      <c r="AM141">
        <f t="shared" si="37"/>
        <v>0</v>
      </c>
      <c r="AN141">
        <f t="shared" si="38"/>
        <v>0</v>
      </c>
    </row>
    <row r="142" spans="1:40" ht="30" x14ac:dyDescent="0.25">
      <c r="A142" s="26">
        <v>136</v>
      </c>
      <c r="B142" s="27" t="str">
        <f>Absensi!B140</f>
        <v>Kebayoran Lama</v>
      </c>
      <c r="C142" s="27" t="str">
        <f>Rekap!C142</f>
        <v>Desta Indrawan</v>
      </c>
      <c r="D142" s="46" t="str">
        <f t="shared" si="39"/>
        <v>Kebayoran LamaDesta Indrawan</v>
      </c>
      <c r="E142">
        <f>COUNTIFS(Absensi!$D140:$ND140,"C",Absensi!$D$2:$ND$2,E$6)</f>
        <v>12</v>
      </c>
      <c r="F142">
        <f>COUNTIFS(Absensi!$D140:$ND140,"C",Absensi!$D$2:$ND$2,F$6)</f>
        <v>0</v>
      </c>
      <c r="G142">
        <f>COUNTIFS(Absensi!$D140:$ND140,"C",Absensi!$D$2:$ND$2,G$6)</f>
        <v>0</v>
      </c>
      <c r="H142">
        <f>COUNTIFS(Absensi!$D140:$ND140,"C",Absensi!$D$2:$ND$2,H$6)</f>
        <v>0</v>
      </c>
      <c r="I142">
        <f>COUNTIFS(Absensi!$D140:$ND140,"C",Absensi!$D$2:$ND$2,I$6)</f>
        <v>0</v>
      </c>
      <c r="J142">
        <f>COUNTIFS(Absensi!$D140:$ND140,"C",Absensi!$D$2:$ND$2,J$6)</f>
        <v>0</v>
      </c>
      <c r="K142">
        <f>COUNTIFS(Absensi!$D140:$ND140,"C",Absensi!$D$2:$ND$2,K$6)</f>
        <v>0</v>
      </c>
      <c r="L142">
        <f>COUNTIFS(Absensi!$D140:$ND140,"C",Absensi!$D$2:$ND$2,L$6)</f>
        <v>0</v>
      </c>
      <c r="M142">
        <f>COUNTIFS(Absensi!$D140:$ND140,"C",Absensi!$D$2:$ND$2,M$6)</f>
        <v>0</v>
      </c>
      <c r="N142">
        <f>COUNTIFS(Absensi!$D140:$ND140,"C",Absensi!$D$2:$ND$2,N$6)</f>
        <v>0</v>
      </c>
      <c r="O142">
        <f>COUNTIFS(Absensi!$D140:$ND140,"C",Absensi!$D$2:$ND$2,O$6)</f>
        <v>0</v>
      </c>
      <c r="P142">
        <f>COUNTIFS(Absensi!$D140:$ND140,"C",Absensi!$D$2:$ND$2,P$6)</f>
        <v>0</v>
      </c>
      <c r="Q142">
        <f>COUNTIFS(Absensi!$D140:$ND140,"CS",Absensi!$D$2:$ND$2,Q$6)</f>
        <v>0</v>
      </c>
      <c r="R142">
        <f>COUNTIFS(Absensi!$D140:$ND140,"CS",Absensi!$D$2:$ND$2,R$6)</f>
        <v>0</v>
      </c>
      <c r="S142">
        <f>COUNTIFS(Absensi!$D140:$ND140,"CS",Absensi!$D$2:$ND$2,S$6)</f>
        <v>0</v>
      </c>
      <c r="T142">
        <f>COUNTIFS(Absensi!$D140:$ND140,"CS",Absensi!$D$2:$ND$2,T$6)</f>
        <v>0</v>
      </c>
      <c r="U142">
        <f>COUNTIFS(Absensi!$D140:$ND140,"CS",Absensi!$D$2:$ND$2,U$6)</f>
        <v>0</v>
      </c>
      <c r="V142">
        <f>COUNTIFS(Absensi!$D140:$ND140,"CS",Absensi!$D$2:$ND$2,V$6)</f>
        <v>0</v>
      </c>
      <c r="W142">
        <f>COUNTIFS(Absensi!$D140:$ND140,"CS",Absensi!$D$2:$ND$2,W$6)</f>
        <v>0</v>
      </c>
      <c r="X142">
        <f>COUNTIFS(Absensi!$D140:$ND140,"CS",Absensi!$D$2:$ND$2,X$6)</f>
        <v>0</v>
      </c>
      <c r="Y142">
        <f>COUNTIFS(Absensi!$D140:$ND140,"CS",Absensi!$D$2:$ND$2,Y$6)</f>
        <v>0</v>
      </c>
      <c r="Z142">
        <f>COUNTIFS(Absensi!$D140:$ND140,"CS",Absensi!$D$2:$ND$2,Z$6)</f>
        <v>0</v>
      </c>
      <c r="AA142">
        <f>COUNTIFS(Absensi!$D140:$ND140,"CS",Absensi!$D$2:$ND$2,AA$6)</f>
        <v>0</v>
      </c>
      <c r="AB142">
        <f>COUNTIFS(Absensi!$D140:$ND140,"CS",Absensi!$D$2:$ND$2,AB$6)</f>
        <v>0</v>
      </c>
      <c r="AC142">
        <f t="shared" si="27"/>
        <v>0</v>
      </c>
      <c r="AD142">
        <f t="shared" si="28"/>
        <v>0</v>
      </c>
      <c r="AE142">
        <f t="shared" si="29"/>
        <v>0</v>
      </c>
      <c r="AF142">
        <f t="shared" si="30"/>
        <v>0</v>
      </c>
      <c r="AG142">
        <f t="shared" si="31"/>
        <v>0</v>
      </c>
      <c r="AH142">
        <f t="shared" si="32"/>
        <v>0</v>
      </c>
      <c r="AI142">
        <f t="shared" si="33"/>
        <v>0</v>
      </c>
      <c r="AJ142">
        <f t="shared" si="34"/>
        <v>0</v>
      </c>
      <c r="AK142">
        <f t="shared" si="35"/>
        <v>0</v>
      </c>
      <c r="AL142">
        <f t="shared" si="36"/>
        <v>0</v>
      </c>
      <c r="AM142">
        <f t="shared" si="37"/>
        <v>0</v>
      </c>
      <c r="AN142">
        <f t="shared" si="38"/>
        <v>0</v>
      </c>
    </row>
    <row r="143" spans="1:40" x14ac:dyDescent="0.25">
      <c r="A143" s="26">
        <v>137</v>
      </c>
      <c r="B143" s="27" t="str">
        <f>Absensi!B141</f>
        <v>Kebayoran Lama</v>
      </c>
      <c r="C143" s="27" t="str">
        <f>Rekap!C143</f>
        <v>Taswin</v>
      </c>
      <c r="D143" s="46" t="str">
        <f t="shared" si="39"/>
        <v>Kebayoran LamaTaswin</v>
      </c>
      <c r="E143">
        <f>COUNTIFS(Absensi!$D141:$ND141,"C",Absensi!$D$2:$ND$2,E$6)</f>
        <v>12</v>
      </c>
      <c r="F143">
        <f>COUNTIFS(Absensi!$D141:$ND141,"C",Absensi!$D$2:$ND$2,F$6)</f>
        <v>0</v>
      </c>
      <c r="G143">
        <f>COUNTIFS(Absensi!$D141:$ND141,"C",Absensi!$D$2:$ND$2,G$6)</f>
        <v>0</v>
      </c>
      <c r="H143">
        <f>COUNTIFS(Absensi!$D141:$ND141,"C",Absensi!$D$2:$ND$2,H$6)</f>
        <v>0</v>
      </c>
      <c r="I143">
        <f>COUNTIFS(Absensi!$D141:$ND141,"C",Absensi!$D$2:$ND$2,I$6)</f>
        <v>0</v>
      </c>
      <c r="J143">
        <f>COUNTIFS(Absensi!$D141:$ND141,"C",Absensi!$D$2:$ND$2,J$6)</f>
        <v>0</v>
      </c>
      <c r="K143">
        <f>COUNTIFS(Absensi!$D141:$ND141,"C",Absensi!$D$2:$ND$2,K$6)</f>
        <v>1</v>
      </c>
      <c r="L143">
        <f>COUNTIFS(Absensi!$D141:$ND141,"C",Absensi!$D$2:$ND$2,L$6)</f>
        <v>0</v>
      </c>
      <c r="M143">
        <f>COUNTIFS(Absensi!$D141:$ND141,"C",Absensi!$D$2:$ND$2,M$6)</f>
        <v>0</v>
      </c>
      <c r="N143">
        <f>COUNTIFS(Absensi!$D141:$ND141,"C",Absensi!$D$2:$ND$2,N$6)</f>
        <v>0</v>
      </c>
      <c r="O143">
        <f>COUNTIFS(Absensi!$D141:$ND141,"C",Absensi!$D$2:$ND$2,O$6)</f>
        <v>0</v>
      </c>
      <c r="P143">
        <f>COUNTIFS(Absensi!$D141:$ND141,"C",Absensi!$D$2:$ND$2,P$6)</f>
        <v>0</v>
      </c>
      <c r="Q143">
        <f>COUNTIFS(Absensi!$D141:$ND141,"CS",Absensi!$D$2:$ND$2,Q$6)</f>
        <v>0</v>
      </c>
      <c r="R143">
        <f>COUNTIFS(Absensi!$D141:$ND141,"CS",Absensi!$D$2:$ND$2,R$6)</f>
        <v>0</v>
      </c>
      <c r="S143">
        <f>COUNTIFS(Absensi!$D141:$ND141,"CS",Absensi!$D$2:$ND$2,S$6)</f>
        <v>0</v>
      </c>
      <c r="T143">
        <f>COUNTIFS(Absensi!$D141:$ND141,"CS",Absensi!$D$2:$ND$2,T$6)</f>
        <v>0</v>
      </c>
      <c r="U143">
        <f>COUNTIFS(Absensi!$D141:$ND141,"CS",Absensi!$D$2:$ND$2,U$6)</f>
        <v>0</v>
      </c>
      <c r="V143">
        <f>COUNTIFS(Absensi!$D141:$ND141,"CS",Absensi!$D$2:$ND$2,V$6)</f>
        <v>0</v>
      </c>
      <c r="W143">
        <f>COUNTIFS(Absensi!$D141:$ND141,"CS",Absensi!$D$2:$ND$2,W$6)</f>
        <v>0</v>
      </c>
      <c r="X143">
        <f>COUNTIFS(Absensi!$D141:$ND141,"CS",Absensi!$D$2:$ND$2,X$6)</f>
        <v>0</v>
      </c>
      <c r="Y143">
        <f>COUNTIFS(Absensi!$D141:$ND141,"CS",Absensi!$D$2:$ND$2,Y$6)</f>
        <v>0</v>
      </c>
      <c r="Z143">
        <f>COUNTIFS(Absensi!$D141:$ND141,"CS",Absensi!$D$2:$ND$2,Z$6)</f>
        <v>0</v>
      </c>
      <c r="AA143">
        <f>COUNTIFS(Absensi!$D141:$ND141,"CS",Absensi!$D$2:$ND$2,AA$6)</f>
        <v>0</v>
      </c>
      <c r="AB143">
        <f>COUNTIFS(Absensi!$D141:$ND141,"CS",Absensi!$D$2:$ND$2,AB$6)</f>
        <v>0</v>
      </c>
      <c r="AC143">
        <f t="shared" si="27"/>
        <v>0</v>
      </c>
      <c r="AD143">
        <f t="shared" si="28"/>
        <v>0</v>
      </c>
      <c r="AE143">
        <f t="shared" si="29"/>
        <v>0</v>
      </c>
      <c r="AF143">
        <f t="shared" si="30"/>
        <v>0</v>
      </c>
      <c r="AG143">
        <f t="shared" si="31"/>
        <v>0</v>
      </c>
      <c r="AH143">
        <f t="shared" si="32"/>
        <v>0</v>
      </c>
      <c r="AI143">
        <f t="shared" si="33"/>
        <v>-1</v>
      </c>
      <c r="AJ143">
        <f t="shared" si="34"/>
        <v>-1</v>
      </c>
      <c r="AK143">
        <f t="shared" si="35"/>
        <v>-1</v>
      </c>
      <c r="AL143">
        <f t="shared" si="36"/>
        <v>-1</v>
      </c>
      <c r="AM143">
        <f t="shared" si="37"/>
        <v>-1</v>
      </c>
      <c r="AN143">
        <f t="shared" si="38"/>
        <v>-1</v>
      </c>
    </row>
    <row r="144" spans="1:40" x14ac:dyDescent="0.25">
      <c r="A144" s="26">
        <v>138</v>
      </c>
      <c r="B144" s="27" t="str">
        <f>Absensi!B142</f>
        <v>Kebayoran Lama</v>
      </c>
      <c r="C144" s="27" t="str">
        <f>Rekap!C144</f>
        <v>M. Sapei</v>
      </c>
      <c r="D144" s="46" t="str">
        <f t="shared" si="39"/>
        <v>Kebayoran LamaM. Sapei</v>
      </c>
      <c r="E144">
        <f>COUNTIFS(Absensi!$D142:$ND142,"C",Absensi!$D$2:$ND$2,E$6)</f>
        <v>12</v>
      </c>
      <c r="F144">
        <f>COUNTIFS(Absensi!$D142:$ND142,"C",Absensi!$D$2:$ND$2,F$6)</f>
        <v>0</v>
      </c>
      <c r="G144">
        <f>COUNTIFS(Absensi!$D142:$ND142,"C",Absensi!$D$2:$ND$2,G$6)</f>
        <v>0</v>
      </c>
      <c r="H144">
        <f>COUNTIFS(Absensi!$D142:$ND142,"C",Absensi!$D$2:$ND$2,H$6)</f>
        <v>0</v>
      </c>
      <c r="I144">
        <f>COUNTIFS(Absensi!$D142:$ND142,"C",Absensi!$D$2:$ND$2,I$6)</f>
        <v>0</v>
      </c>
      <c r="J144">
        <f>COUNTIFS(Absensi!$D142:$ND142,"C",Absensi!$D$2:$ND$2,J$6)</f>
        <v>0</v>
      </c>
      <c r="K144">
        <f>COUNTIFS(Absensi!$D142:$ND142,"C",Absensi!$D$2:$ND$2,K$6)</f>
        <v>1</v>
      </c>
      <c r="L144">
        <f>COUNTIFS(Absensi!$D142:$ND142,"C",Absensi!$D$2:$ND$2,L$6)</f>
        <v>0</v>
      </c>
      <c r="M144">
        <f>COUNTIFS(Absensi!$D142:$ND142,"C",Absensi!$D$2:$ND$2,M$6)</f>
        <v>0</v>
      </c>
      <c r="N144">
        <f>COUNTIFS(Absensi!$D142:$ND142,"C",Absensi!$D$2:$ND$2,N$6)</f>
        <v>0</v>
      </c>
      <c r="O144">
        <f>COUNTIFS(Absensi!$D142:$ND142,"C",Absensi!$D$2:$ND$2,O$6)</f>
        <v>0</v>
      </c>
      <c r="P144">
        <f>COUNTIFS(Absensi!$D142:$ND142,"C",Absensi!$D$2:$ND$2,P$6)</f>
        <v>0</v>
      </c>
      <c r="Q144">
        <f>COUNTIFS(Absensi!$D142:$ND142,"CS",Absensi!$D$2:$ND$2,Q$6)</f>
        <v>0</v>
      </c>
      <c r="R144">
        <f>COUNTIFS(Absensi!$D142:$ND142,"CS",Absensi!$D$2:$ND$2,R$6)</f>
        <v>0</v>
      </c>
      <c r="S144">
        <f>COUNTIFS(Absensi!$D142:$ND142,"CS",Absensi!$D$2:$ND$2,S$6)</f>
        <v>0</v>
      </c>
      <c r="T144">
        <f>COUNTIFS(Absensi!$D142:$ND142,"CS",Absensi!$D$2:$ND$2,T$6)</f>
        <v>0</v>
      </c>
      <c r="U144">
        <f>COUNTIFS(Absensi!$D142:$ND142,"CS",Absensi!$D$2:$ND$2,U$6)</f>
        <v>0</v>
      </c>
      <c r="V144">
        <f>COUNTIFS(Absensi!$D142:$ND142,"CS",Absensi!$D$2:$ND$2,V$6)</f>
        <v>0</v>
      </c>
      <c r="W144">
        <f>COUNTIFS(Absensi!$D142:$ND142,"CS",Absensi!$D$2:$ND$2,W$6)</f>
        <v>0</v>
      </c>
      <c r="X144">
        <f>COUNTIFS(Absensi!$D142:$ND142,"CS",Absensi!$D$2:$ND$2,X$6)</f>
        <v>0</v>
      </c>
      <c r="Y144">
        <f>COUNTIFS(Absensi!$D142:$ND142,"CS",Absensi!$D$2:$ND$2,Y$6)</f>
        <v>0</v>
      </c>
      <c r="Z144">
        <f>COUNTIFS(Absensi!$D142:$ND142,"CS",Absensi!$D$2:$ND$2,Z$6)</f>
        <v>0</v>
      </c>
      <c r="AA144">
        <f>COUNTIFS(Absensi!$D142:$ND142,"CS",Absensi!$D$2:$ND$2,AA$6)</f>
        <v>0</v>
      </c>
      <c r="AB144">
        <f>COUNTIFS(Absensi!$D142:$ND142,"CS",Absensi!$D$2:$ND$2,AB$6)</f>
        <v>0</v>
      </c>
      <c r="AC144">
        <f t="shared" si="27"/>
        <v>0</v>
      </c>
      <c r="AD144">
        <f t="shared" si="28"/>
        <v>0</v>
      </c>
      <c r="AE144">
        <f t="shared" si="29"/>
        <v>0</v>
      </c>
      <c r="AF144">
        <f t="shared" si="30"/>
        <v>0</v>
      </c>
      <c r="AG144">
        <f t="shared" si="31"/>
        <v>0</v>
      </c>
      <c r="AH144">
        <f t="shared" si="32"/>
        <v>0</v>
      </c>
      <c r="AI144">
        <f t="shared" si="33"/>
        <v>-1</v>
      </c>
      <c r="AJ144">
        <f t="shared" si="34"/>
        <v>-1</v>
      </c>
      <c r="AK144">
        <f t="shared" si="35"/>
        <v>-1</v>
      </c>
      <c r="AL144">
        <f t="shared" si="36"/>
        <v>-1</v>
      </c>
      <c r="AM144">
        <f t="shared" si="37"/>
        <v>-1</v>
      </c>
      <c r="AN144">
        <f t="shared" si="38"/>
        <v>-1</v>
      </c>
    </row>
    <row r="145" spans="1:40" ht="30" x14ac:dyDescent="0.25">
      <c r="A145" s="26">
        <v>139</v>
      </c>
      <c r="B145" s="27" t="str">
        <f>Absensi!B143</f>
        <v>Kebayoran Lama</v>
      </c>
      <c r="C145" s="27" t="str">
        <f>Rekap!C145</f>
        <v>Irgi Ardiansyah</v>
      </c>
      <c r="D145" s="46" t="str">
        <f t="shared" si="39"/>
        <v>Kebayoran LamaIrgi Ardiansyah</v>
      </c>
      <c r="E145">
        <f>COUNTIFS(Absensi!$D143:$ND143,"C",Absensi!$D$2:$ND$2,E$6)</f>
        <v>12</v>
      </c>
      <c r="F145">
        <f>COUNTIFS(Absensi!$D143:$ND143,"C",Absensi!$D$2:$ND$2,F$6)</f>
        <v>0</v>
      </c>
      <c r="G145">
        <f>COUNTIFS(Absensi!$D143:$ND143,"C",Absensi!$D$2:$ND$2,G$6)</f>
        <v>0</v>
      </c>
      <c r="H145">
        <f>COUNTIFS(Absensi!$D143:$ND143,"C",Absensi!$D$2:$ND$2,H$6)</f>
        <v>0</v>
      </c>
      <c r="I145">
        <f>COUNTIFS(Absensi!$D143:$ND143,"C",Absensi!$D$2:$ND$2,I$6)</f>
        <v>0</v>
      </c>
      <c r="J145">
        <f>COUNTIFS(Absensi!$D143:$ND143,"C",Absensi!$D$2:$ND$2,J$6)</f>
        <v>0</v>
      </c>
      <c r="K145">
        <f>COUNTIFS(Absensi!$D143:$ND143,"C",Absensi!$D$2:$ND$2,K$6)</f>
        <v>0</v>
      </c>
      <c r="L145">
        <f>COUNTIFS(Absensi!$D143:$ND143,"C",Absensi!$D$2:$ND$2,L$6)</f>
        <v>0</v>
      </c>
      <c r="M145">
        <f>COUNTIFS(Absensi!$D143:$ND143,"C",Absensi!$D$2:$ND$2,M$6)</f>
        <v>0</v>
      </c>
      <c r="N145">
        <f>COUNTIFS(Absensi!$D143:$ND143,"C",Absensi!$D$2:$ND$2,N$6)</f>
        <v>0</v>
      </c>
      <c r="O145">
        <f>COUNTIFS(Absensi!$D143:$ND143,"C",Absensi!$D$2:$ND$2,O$6)</f>
        <v>0</v>
      </c>
      <c r="P145">
        <f>COUNTIFS(Absensi!$D143:$ND143,"C",Absensi!$D$2:$ND$2,P$6)</f>
        <v>0</v>
      </c>
      <c r="Q145">
        <f>COUNTIFS(Absensi!$D143:$ND143,"CS",Absensi!$D$2:$ND$2,Q$6)</f>
        <v>0</v>
      </c>
      <c r="R145">
        <f>COUNTIFS(Absensi!$D143:$ND143,"CS",Absensi!$D$2:$ND$2,R$6)</f>
        <v>0</v>
      </c>
      <c r="S145">
        <f>COUNTIFS(Absensi!$D143:$ND143,"CS",Absensi!$D$2:$ND$2,S$6)</f>
        <v>0</v>
      </c>
      <c r="T145">
        <f>COUNTIFS(Absensi!$D143:$ND143,"CS",Absensi!$D$2:$ND$2,T$6)</f>
        <v>0</v>
      </c>
      <c r="U145">
        <f>COUNTIFS(Absensi!$D143:$ND143,"CS",Absensi!$D$2:$ND$2,U$6)</f>
        <v>0</v>
      </c>
      <c r="V145">
        <f>COUNTIFS(Absensi!$D143:$ND143,"CS",Absensi!$D$2:$ND$2,V$6)</f>
        <v>0</v>
      </c>
      <c r="W145">
        <f>COUNTIFS(Absensi!$D143:$ND143,"CS",Absensi!$D$2:$ND$2,W$6)</f>
        <v>0</v>
      </c>
      <c r="X145">
        <f>COUNTIFS(Absensi!$D143:$ND143,"CS",Absensi!$D$2:$ND$2,X$6)</f>
        <v>0</v>
      </c>
      <c r="Y145">
        <f>COUNTIFS(Absensi!$D143:$ND143,"CS",Absensi!$D$2:$ND$2,Y$6)</f>
        <v>0</v>
      </c>
      <c r="Z145">
        <f>COUNTIFS(Absensi!$D143:$ND143,"CS",Absensi!$D$2:$ND$2,Z$6)</f>
        <v>0</v>
      </c>
      <c r="AA145">
        <f>COUNTIFS(Absensi!$D143:$ND143,"CS",Absensi!$D$2:$ND$2,AA$6)</f>
        <v>0</v>
      </c>
      <c r="AB145">
        <f>COUNTIFS(Absensi!$D143:$ND143,"CS",Absensi!$D$2:$ND$2,AB$6)</f>
        <v>0</v>
      </c>
      <c r="AC145">
        <f t="shared" si="27"/>
        <v>0</v>
      </c>
      <c r="AD145">
        <f t="shared" si="28"/>
        <v>0</v>
      </c>
      <c r="AE145">
        <f t="shared" si="29"/>
        <v>0</v>
      </c>
      <c r="AF145">
        <f t="shared" si="30"/>
        <v>0</v>
      </c>
      <c r="AG145">
        <f t="shared" si="31"/>
        <v>0</v>
      </c>
      <c r="AH145">
        <f t="shared" si="32"/>
        <v>0</v>
      </c>
      <c r="AI145">
        <f t="shared" si="33"/>
        <v>0</v>
      </c>
      <c r="AJ145">
        <f t="shared" si="34"/>
        <v>0</v>
      </c>
      <c r="AK145">
        <f t="shared" si="35"/>
        <v>0</v>
      </c>
      <c r="AL145">
        <f t="shared" si="36"/>
        <v>0</v>
      </c>
      <c r="AM145">
        <f t="shared" si="37"/>
        <v>0</v>
      </c>
      <c r="AN145">
        <f t="shared" si="38"/>
        <v>0</v>
      </c>
    </row>
    <row r="146" spans="1:40" x14ac:dyDescent="0.25">
      <c r="A146" s="26">
        <v>140</v>
      </c>
      <c r="B146" s="27" t="str">
        <f>Absensi!B144</f>
        <v>Fishroom</v>
      </c>
      <c r="C146" s="27" t="str">
        <f>Rekap!C146</f>
        <v>Rizki Febriansyah</v>
      </c>
      <c r="D146" s="46" t="str">
        <f t="shared" si="39"/>
        <v>FishroomRizki Febriansyah</v>
      </c>
      <c r="E146">
        <f>COUNTIFS(Absensi!$D144:$ND144,"C",Absensi!$D$2:$ND$2,E$6)</f>
        <v>12</v>
      </c>
      <c r="F146">
        <f>COUNTIFS(Absensi!$D144:$ND144,"C",Absensi!$D$2:$ND$2,F$6)</f>
        <v>0</v>
      </c>
      <c r="G146">
        <f>COUNTIFS(Absensi!$D144:$ND144,"C",Absensi!$D$2:$ND$2,G$6)</f>
        <v>0</v>
      </c>
      <c r="H146">
        <f>COUNTIFS(Absensi!$D144:$ND144,"C",Absensi!$D$2:$ND$2,H$6)</f>
        <v>0</v>
      </c>
      <c r="I146">
        <f>COUNTIFS(Absensi!$D144:$ND144,"C",Absensi!$D$2:$ND$2,I$6)</f>
        <v>0</v>
      </c>
      <c r="J146">
        <f>COUNTIFS(Absensi!$D144:$ND144,"C",Absensi!$D$2:$ND$2,J$6)</f>
        <v>0</v>
      </c>
      <c r="K146">
        <f>COUNTIFS(Absensi!$D144:$ND144,"C",Absensi!$D$2:$ND$2,K$6)</f>
        <v>0</v>
      </c>
      <c r="L146">
        <f>COUNTIFS(Absensi!$D144:$ND144,"C",Absensi!$D$2:$ND$2,L$6)</f>
        <v>0</v>
      </c>
      <c r="M146">
        <f>COUNTIFS(Absensi!$D144:$ND144,"C",Absensi!$D$2:$ND$2,M$6)</f>
        <v>0</v>
      </c>
      <c r="N146">
        <f>COUNTIFS(Absensi!$D144:$ND144,"C",Absensi!$D$2:$ND$2,N$6)</f>
        <v>0</v>
      </c>
      <c r="O146">
        <f>COUNTIFS(Absensi!$D144:$ND144,"C",Absensi!$D$2:$ND$2,O$6)</f>
        <v>0</v>
      </c>
      <c r="P146">
        <f>COUNTIFS(Absensi!$D144:$ND144,"C",Absensi!$D$2:$ND$2,P$6)</f>
        <v>0</v>
      </c>
      <c r="Q146">
        <f>COUNTIFS(Absensi!$D144:$ND144,"CS",Absensi!$D$2:$ND$2,Q$6)</f>
        <v>0</v>
      </c>
      <c r="R146">
        <f>COUNTIFS(Absensi!$D144:$ND144,"CS",Absensi!$D$2:$ND$2,R$6)</f>
        <v>0</v>
      </c>
      <c r="S146">
        <f>COUNTIFS(Absensi!$D144:$ND144,"CS",Absensi!$D$2:$ND$2,S$6)</f>
        <v>0</v>
      </c>
      <c r="T146">
        <f>COUNTIFS(Absensi!$D144:$ND144,"CS",Absensi!$D$2:$ND$2,T$6)</f>
        <v>0</v>
      </c>
      <c r="U146">
        <f>COUNTIFS(Absensi!$D144:$ND144,"CS",Absensi!$D$2:$ND$2,U$6)</f>
        <v>0</v>
      </c>
      <c r="V146">
        <f>COUNTIFS(Absensi!$D144:$ND144,"CS",Absensi!$D$2:$ND$2,V$6)</f>
        <v>0</v>
      </c>
      <c r="W146">
        <f>COUNTIFS(Absensi!$D144:$ND144,"CS",Absensi!$D$2:$ND$2,W$6)</f>
        <v>0</v>
      </c>
      <c r="X146">
        <f>COUNTIFS(Absensi!$D144:$ND144,"CS",Absensi!$D$2:$ND$2,X$6)</f>
        <v>0</v>
      </c>
      <c r="Y146">
        <f>COUNTIFS(Absensi!$D144:$ND144,"CS",Absensi!$D$2:$ND$2,Y$6)</f>
        <v>0</v>
      </c>
      <c r="Z146">
        <f>COUNTIFS(Absensi!$D144:$ND144,"CS",Absensi!$D$2:$ND$2,Z$6)</f>
        <v>0</v>
      </c>
      <c r="AA146">
        <f>COUNTIFS(Absensi!$D144:$ND144,"CS",Absensi!$D$2:$ND$2,AA$6)</f>
        <v>0</v>
      </c>
      <c r="AB146">
        <f>COUNTIFS(Absensi!$D144:$ND144,"CS",Absensi!$D$2:$ND$2,AB$6)</f>
        <v>0</v>
      </c>
      <c r="AC146">
        <f t="shared" si="27"/>
        <v>0</v>
      </c>
      <c r="AD146">
        <f t="shared" si="28"/>
        <v>0</v>
      </c>
      <c r="AE146">
        <f t="shared" si="29"/>
        <v>0</v>
      </c>
      <c r="AF146">
        <f t="shared" si="30"/>
        <v>0</v>
      </c>
      <c r="AG146">
        <f t="shared" si="31"/>
        <v>0</v>
      </c>
      <c r="AH146">
        <f t="shared" si="32"/>
        <v>0</v>
      </c>
      <c r="AI146">
        <f t="shared" si="33"/>
        <v>0</v>
      </c>
      <c r="AJ146">
        <f t="shared" si="34"/>
        <v>0</v>
      </c>
      <c r="AK146">
        <f t="shared" si="35"/>
        <v>0</v>
      </c>
      <c r="AL146">
        <f t="shared" si="36"/>
        <v>0</v>
      </c>
      <c r="AM146">
        <f t="shared" si="37"/>
        <v>0</v>
      </c>
      <c r="AN146">
        <f t="shared" si="38"/>
        <v>0</v>
      </c>
    </row>
    <row r="147" spans="1:40" x14ac:dyDescent="0.25">
      <c r="A147" s="26">
        <v>141</v>
      </c>
      <c r="B147" s="27" t="str">
        <f>Absensi!B145</f>
        <v>Bandung</v>
      </c>
      <c r="C147" s="27" t="str">
        <f>Rekap!C147</f>
        <v>Apriliani Lestari</v>
      </c>
      <c r="D147" s="46" t="str">
        <f t="shared" si="39"/>
        <v>BandungApriliani Lestari</v>
      </c>
      <c r="E147">
        <f>COUNTIFS(Absensi!$D145:$ND145,"C",Absensi!$D$2:$ND$2,E$6)</f>
        <v>12</v>
      </c>
      <c r="F147">
        <f>COUNTIFS(Absensi!$D145:$ND145,"C",Absensi!$D$2:$ND$2,F$6)</f>
        <v>0</v>
      </c>
      <c r="G147">
        <f>COUNTIFS(Absensi!$D145:$ND145,"C",Absensi!$D$2:$ND$2,G$6)</f>
        <v>0</v>
      </c>
      <c r="H147">
        <f>COUNTIFS(Absensi!$D145:$ND145,"C",Absensi!$D$2:$ND$2,H$6)</f>
        <v>0</v>
      </c>
      <c r="I147">
        <f>COUNTIFS(Absensi!$D145:$ND145,"C",Absensi!$D$2:$ND$2,I$6)</f>
        <v>0</v>
      </c>
      <c r="J147">
        <f>COUNTIFS(Absensi!$D145:$ND145,"C",Absensi!$D$2:$ND$2,J$6)</f>
        <v>0</v>
      </c>
      <c r="K147">
        <f>COUNTIFS(Absensi!$D145:$ND145,"C",Absensi!$D$2:$ND$2,K$6)</f>
        <v>0</v>
      </c>
      <c r="L147">
        <f>COUNTIFS(Absensi!$D145:$ND145,"C",Absensi!$D$2:$ND$2,L$6)</f>
        <v>0</v>
      </c>
      <c r="M147">
        <f>COUNTIFS(Absensi!$D145:$ND145,"C",Absensi!$D$2:$ND$2,M$6)</f>
        <v>0</v>
      </c>
      <c r="N147">
        <f>COUNTIFS(Absensi!$D145:$ND145,"C",Absensi!$D$2:$ND$2,N$6)</f>
        <v>0</v>
      </c>
      <c r="O147">
        <f>COUNTIFS(Absensi!$D145:$ND145,"C",Absensi!$D$2:$ND$2,O$6)</f>
        <v>0</v>
      </c>
      <c r="P147">
        <f>COUNTIFS(Absensi!$D145:$ND145,"C",Absensi!$D$2:$ND$2,P$6)</f>
        <v>0</v>
      </c>
      <c r="Q147">
        <f>COUNTIFS(Absensi!$D145:$ND145,"CS",Absensi!$D$2:$ND$2,Q$6)</f>
        <v>0</v>
      </c>
      <c r="R147">
        <f>COUNTIFS(Absensi!$D145:$ND145,"CS",Absensi!$D$2:$ND$2,R$6)</f>
        <v>0</v>
      </c>
      <c r="S147">
        <f>COUNTIFS(Absensi!$D145:$ND145,"CS",Absensi!$D$2:$ND$2,S$6)</f>
        <v>0</v>
      </c>
      <c r="T147">
        <f>COUNTIFS(Absensi!$D145:$ND145,"CS",Absensi!$D$2:$ND$2,T$6)</f>
        <v>0</v>
      </c>
      <c r="U147">
        <f>COUNTIFS(Absensi!$D145:$ND145,"CS",Absensi!$D$2:$ND$2,U$6)</f>
        <v>0</v>
      </c>
      <c r="V147">
        <f>COUNTIFS(Absensi!$D145:$ND145,"CS",Absensi!$D$2:$ND$2,V$6)</f>
        <v>0</v>
      </c>
      <c r="W147">
        <f>COUNTIFS(Absensi!$D145:$ND145,"CS",Absensi!$D$2:$ND$2,W$6)</f>
        <v>0</v>
      </c>
      <c r="X147">
        <f>COUNTIFS(Absensi!$D145:$ND145,"CS",Absensi!$D$2:$ND$2,X$6)</f>
        <v>0</v>
      </c>
      <c r="Y147">
        <f>COUNTIFS(Absensi!$D145:$ND145,"CS",Absensi!$D$2:$ND$2,Y$6)</f>
        <v>0</v>
      </c>
      <c r="Z147">
        <f>COUNTIFS(Absensi!$D145:$ND145,"CS",Absensi!$D$2:$ND$2,Z$6)</f>
        <v>0</v>
      </c>
      <c r="AA147">
        <f>COUNTIFS(Absensi!$D145:$ND145,"CS",Absensi!$D$2:$ND$2,AA$6)</f>
        <v>0</v>
      </c>
      <c r="AB147">
        <f>COUNTIFS(Absensi!$D145:$ND145,"CS",Absensi!$D$2:$ND$2,AB$6)</f>
        <v>0</v>
      </c>
      <c r="AC147">
        <f t="shared" si="27"/>
        <v>0</v>
      </c>
      <c r="AD147">
        <f t="shared" si="28"/>
        <v>0</v>
      </c>
      <c r="AE147">
        <f t="shared" si="29"/>
        <v>0</v>
      </c>
      <c r="AF147">
        <f t="shared" si="30"/>
        <v>0</v>
      </c>
      <c r="AG147">
        <f t="shared" si="31"/>
        <v>0</v>
      </c>
      <c r="AH147">
        <f t="shared" si="32"/>
        <v>0</v>
      </c>
      <c r="AI147">
        <f t="shared" si="33"/>
        <v>0</v>
      </c>
      <c r="AJ147">
        <f t="shared" si="34"/>
        <v>0</v>
      </c>
      <c r="AK147">
        <f t="shared" si="35"/>
        <v>0</v>
      </c>
      <c r="AL147">
        <f t="shared" si="36"/>
        <v>0</v>
      </c>
      <c r="AM147">
        <f t="shared" si="37"/>
        <v>0</v>
      </c>
      <c r="AN147">
        <f t="shared" si="38"/>
        <v>0</v>
      </c>
    </row>
    <row r="148" spans="1:40" x14ac:dyDescent="0.25">
      <c r="A148" s="26">
        <v>142</v>
      </c>
      <c r="B148" s="27" t="str">
        <f>Absensi!B146</f>
        <v>Bandung</v>
      </c>
      <c r="C148" s="27" t="str">
        <f>Rekap!C148</f>
        <v xml:space="preserve">Rahman Zaenal </v>
      </c>
      <c r="D148" s="46" t="str">
        <f t="shared" si="39"/>
        <v xml:space="preserve">BandungRahman Zaenal </v>
      </c>
      <c r="E148">
        <f>COUNTIFS(Absensi!$D146:$ND146,"C",Absensi!$D$2:$ND$2,E$6)</f>
        <v>0</v>
      </c>
      <c r="F148">
        <f>COUNTIFS(Absensi!$D146:$ND146,"C",Absensi!$D$2:$ND$2,F$6)</f>
        <v>0</v>
      </c>
      <c r="G148">
        <f>COUNTIFS(Absensi!$D146:$ND146,"C",Absensi!$D$2:$ND$2,G$6)</f>
        <v>3</v>
      </c>
      <c r="H148">
        <f>COUNTIFS(Absensi!$D146:$ND146,"C",Absensi!$D$2:$ND$2,H$6)</f>
        <v>0</v>
      </c>
      <c r="I148">
        <f>COUNTIFS(Absensi!$D146:$ND146,"C",Absensi!$D$2:$ND$2,I$6)</f>
        <v>0</v>
      </c>
      <c r="J148">
        <f>COUNTIFS(Absensi!$D146:$ND146,"C",Absensi!$D$2:$ND$2,J$6)</f>
        <v>2</v>
      </c>
      <c r="K148">
        <f>COUNTIFS(Absensi!$D146:$ND146,"C",Absensi!$D$2:$ND$2,K$6)</f>
        <v>0</v>
      </c>
      <c r="L148">
        <f>COUNTIFS(Absensi!$D146:$ND146,"C",Absensi!$D$2:$ND$2,L$6)</f>
        <v>0</v>
      </c>
      <c r="M148">
        <f>COUNTIFS(Absensi!$D146:$ND146,"C",Absensi!$D$2:$ND$2,M$6)</f>
        <v>0</v>
      </c>
      <c r="N148">
        <f>COUNTIFS(Absensi!$D146:$ND146,"C",Absensi!$D$2:$ND$2,N$6)</f>
        <v>0</v>
      </c>
      <c r="O148">
        <f>COUNTIFS(Absensi!$D146:$ND146,"C",Absensi!$D$2:$ND$2,O$6)</f>
        <v>0</v>
      </c>
      <c r="P148">
        <f>COUNTIFS(Absensi!$D146:$ND146,"C",Absensi!$D$2:$ND$2,P$6)</f>
        <v>0</v>
      </c>
      <c r="Q148">
        <f>COUNTIFS(Absensi!$D146:$ND146,"CS",Absensi!$D$2:$ND$2,Q$6)</f>
        <v>0</v>
      </c>
      <c r="R148">
        <f>COUNTIFS(Absensi!$D146:$ND146,"CS",Absensi!$D$2:$ND$2,R$6)</f>
        <v>0</v>
      </c>
      <c r="S148">
        <f>COUNTIFS(Absensi!$D146:$ND146,"CS",Absensi!$D$2:$ND$2,S$6)</f>
        <v>0</v>
      </c>
      <c r="T148">
        <f>COUNTIFS(Absensi!$D146:$ND146,"CS",Absensi!$D$2:$ND$2,T$6)</f>
        <v>0</v>
      </c>
      <c r="U148">
        <f>COUNTIFS(Absensi!$D146:$ND146,"CS",Absensi!$D$2:$ND$2,U$6)</f>
        <v>0</v>
      </c>
      <c r="V148">
        <f>COUNTIFS(Absensi!$D146:$ND146,"CS",Absensi!$D$2:$ND$2,V$6)</f>
        <v>0</v>
      </c>
      <c r="W148">
        <f>COUNTIFS(Absensi!$D146:$ND146,"CS",Absensi!$D$2:$ND$2,W$6)</f>
        <v>0</v>
      </c>
      <c r="X148">
        <f>COUNTIFS(Absensi!$D146:$ND146,"CS",Absensi!$D$2:$ND$2,X$6)</f>
        <v>0</v>
      </c>
      <c r="Y148">
        <f>COUNTIFS(Absensi!$D146:$ND146,"CS",Absensi!$D$2:$ND$2,Y$6)</f>
        <v>0</v>
      </c>
      <c r="Z148">
        <f>COUNTIFS(Absensi!$D146:$ND146,"CS",Absensi!$D$2:$ND$2,Z$6)</f>
        <v>0</v>
      </c>
      <c r="AA148">
        <f>COUNTIFS(Absensi!$D146:$ND146,"CS",Absensi!$D$2:$ND$2,AA$6)</f>
        <v>0</v>
      </c>
      <c r="AB148">
        <f>COUNTIFS(Absensi!$D146:$ND146,"CS",Absensi!$D$2:$ND$2,AB$6)</f>
        <v>0</v>
      </c>
      <c r="AC148">
        <f t="shared" si="27"/>
        <v>12</v>
      </c>
      <c r="AD148">
        <f t="shared" si="28"/>
        <v>12</v>
      </c>
      <c r="AE148">
        <f t="shared" si="29"/>
        <v>9</v>
      </c>
      <c r="AF148">
        <f t="shared" si="30"/>
        <v>9</v>
      </c>
      <c r="AG148">
        <f t="shared" si="31"/>
        <v>9</v>
      </c>
      <c r="AH148">
        <f t="shared" si="32"/>
        <v>7</v>
      </c>
      <c r="AI148">
        <f t="shared" si="33"/>
        <v>7</v>
      </c>
      <c r="AJ148">
        <f t="shared" si="34"/>
        <v>7</v>
      </c>
      <c r="AK148">
        <f t="shared" si="35"/>
        <v>7</v>
      </c>
      <c r="AL148">
        <f t="shared" si="36"/>
        <v>7</v>
      </c>
      <c r="AM148">
        <f t="shared" si="37"/>
        <v>7</v>
      </c>
      <c r="AN148">
        <f t="shared" si="38"/>
        <v>7</v>
      </c>
    </row>
    <row r="149" spans="1:40" x14ac:dyDescent="0.25">
      <c r="A149" s="26">
        <v>143</v>
      </c>
      <c r="B149" s="27" t="s">
        <v>230</v>
      </c>
      <c r="C149" s="27" t="str">
        <f>Rekap!C149</f>
        <v>Iwa Kartiwa</v>
      </c>
      <c r="D149" s="46" t="str">
        <f>B149&amp;C149</f>
        <v>Set UpIwa Kartiwa</v>
      </c>
      <c r="E149">
        <f>COUNTIFS(Absensi!$D147:$ND147,"C",Absensi!$D$2:$ND$2,E$6)</f>
        <v>0</v>
      </c>
      <c r="F149">
        <f>COUNTIFS(Absensi!$D147:$ND147,"C",Absensi!$D$2:$ND$2,F$6)</f>
        <v>0</v>
      </c>
      <c r="G149">
        <f>COUNTIFS(Absensi!$D147:$ND147,"C",Absensi!$D$2:$ND$2,G$6)</f>
        <v>3</v>
      </c>
      <c r="H149">
        <f>COUNTIFS(Absensi!$D147:$ND147,"C",Absensi!$D$2:$ND$2,H$6)</f>
        <v>0</v>
      </c>
      <c r="I149">
        <f>COUNTIFS(Absensi!$D147:$ND147,"C",Absensi!$D$2:$ND$2,I$6)</f>
        <v>0</v>
      </c>
      <c r="J149">
        <f>COUNTIFS(Absensi!$D147:$ND147,"C",Absensi!$D$2:$ND$2,J$6)</f>
        <v>0</v>
      </c>
      <c r="K149">
        <f>COUNTIFS(Absensi!$D147:$ND147,"C",Absensi!$D$2:$ND$2,K$6)</f>
        <v>2</v>
      </c>
      <c r="L149">
        <f>COUNTIFS(Absensi!$D147:$ND147,"C",Absensi!$D$2:$ND$2,L$6)</f>
        <v>0</v>
      </c>
      <c r="M149">
        <f>COUNTIFS(Absensi!$D147:$ND147,"C",Absensi!$D$2:$ND$2,M$6)</f>
        <v>0</v>
      </c>
      <c r="N149">
        <f>COUNTIFS(Absensi!$D147:$ND147,"C",Absensi!$D$2:$ND$2,N$6)</f>
        <v>0</v>
      </c>
      <c r="O149">
        <f>COUNTIFS(Absensi!$D147:$ND147,"C",Absensi!$D$2:$ND$2,O$6)</f>
        <v>0</v>
      </c>
      <c r="P149">
        <f>COUNTIFS(Absensi!$D147:$ND147,"C",Absensi!$D$2:$ND$2,P$6)</f>
        <v>0</v>
      </c>
      <c r="Q149">
        <f>COUNTIFS(Absensi!$D147:$ND147,"CS",Absensi!$D$2:$ND$2,Q$6)</f>
        <v>0</v>
      </c>
      <c r="R149">
        <f>COUNTIFS(Absensi!$D147:$ND147,"CS",Absensi!$D$2:$ND$2,R$6)</f>
        <v>0</v>
      </c>
      <c r="S149">
        <f>COUNTIFS(Absensi!$D147:$ND147,"CS",Absensi!$D$2:$ND$2,S$6)</f>
        <v>0</v>
      </c>
      <c r="T149">
        <f>COUNTIFS(Absensi!$D147:$ND147,"CS",Absensi!$D$2:$ND$2,T$6)</f>
        <v>0</v>
      </c>
      <c r="U149">
        <f>COUNTIFS(Absensi!$D147:$ND147,"CS",Absensi!$D$2:$ND$2,U$6)</f>
        <v>0</v>
      </c>
      <c r="V149">
        <f>COUNTIFS(Absensi!$D147:$ND147,"CS",Absensi!$D$2:$ND$2,V$6)</f>
        <v>0</v>
      </c>
      <c r="W149">
        <f>COUNTIFS(Absensi!$D147:$ND147,"CS",Absensi!$D$2:$ND$2,W$6)</f>
        <v>0</v>
      </c>
      <c r="X149">
        <f>COUNTIFS(Absensi!$D147:$ND147,"CS",Absensi!$D$2:$ND$2,X$6)</f>
        <v>0</v>
      </c>
      <c r="Y149">
        <f>COUNTIFS(Absensi!$D147:$ND147,"CS",Absensi!$D$2:$ND$2,Y$6)</f>
        <v>0</v>
      </c>
      <c r="Z149">
        <f>COUNTIFS(Absensi!$D147:$ND147,"CS",Absensi!$D$2:$ND$2,Z$6)</f>
        <v>0</v>
      </c>
      <c r="AA149">
        <f>COUNTIFS(Absensi!$D147:$ND147,"CS",Absensi!$D$2:$ND$2,AA$6)</f>
        <v>0</v>
      </c>
      <c r="AB149">
        <f>COUNTIFS(Absensi!$D147:$ND147,"CS",Absensi!$D$2:$ND$2,AB$6)</f>
        <v>0</v>
      </c>
      <c r="AC149">
        <f t="shared" si="27"/>
        <v>12</v>
      </c>
      <c r="AD149">
        <f t="shared" si="28"/>
        <v>12</v>
      </c>
      <c r="AE149">
        <f t="shared" si="29"/>
        <v>9</v>
      </c>
      <c r="AF149">
        <f t="shared" si="30"/>
        <v>9</v>
      </c>
      <c r="AG149">
        <f t="shared" si="31"/>
        <v>9</v>
      </c>
      <c r="AH149">
        <f t="shared" si="32"/>
        <v>9</v>
      </c>
      <c r="AI149">
        <f t="shared" si="33"/>
        <v>7</v>
      </c>
      <c r="AJ149">
        <f t="shared" si="34"/>
        <v>7</v>
      </c>
      <c r="AK149">
        <f t="shared" si="35"/>
        <v>7</v>
      </c>
      <c r="AL149">
        <f t="shared" si="36"/>
        <v>7</v>
      </c>
      <c r="AM149">
        <f t="shared" si="37"/>
        <v>7</v>
      </c>
      <c r="AN149">
        <f t="shared" si="38"/>
        <v>7</v>
      </c>
    </row>
    <row r="150" spans="1:40" x14ac:dyDescent="0.25">
      <c r="A150" s="26">
        <v>143</v>
      </c>
      <c r="B150" s="27" t="s">
        <v>230</v>
      </c>
      <c r="C150" s="27" t="str">
        <f>Rekap!C150</f>
        <v>Ibnu Gilang Sasongko</v>
      </c>
      <c r="D150" s="46" t="str">
        <f>B150&amp;C150</f>
        <v>Set UpIbnu Gilang Sasongko</v>
      </c>
      <c r="E150">
        <f>COUNTIFS(Absensi!$D148:$ND148,"C",Absensi!$D$2:$ND$2,E$6)</f>
        <v>0</v>
      </c>
      <c r="F150">
        <f>COUNTIFS(Absensi!$D148:$ND148,"C",Absensi!$D$2:$ND$2,F$6)</f>
        <v>0</v>
      </c>
      <c r="G150">
        <f>COUNTIFS(Absensi!$D148:$ND148,"C",Absensi!$D$2:$ND$2,G$6)</f>
        <v>0</v>
      </c>
      <c r="H150">
        <f>COUNTIFS(Absensi!$D148:$ND148,"C",Absensi!$D$2:$ND$2,H$6)</f>
        <v>0</v>
      </c>
      <c r="I150">
        <f>COUNTIFS(Absensi!$D148:$ND148,"C",Absensi!$D$2:$ND$2,I$6)</f>
        <v>0</v>
      </c>
      <c r="J150">
        <f>COUNTIFS(Absensi!$D148:$ND148,"C",Absensi!$D$2:$ND$2,J$6)</f>
        <v>0</v>
      </c>
      <c r="K150">
        <f>COUNTIFS(Absensi!$D148:$ND148,"C",Absensi!$D$2:$ND$2,K$6)</f>
        <v>0</v>
      </c>
      <c r="L150">
        <f>COUNTIFS(Absensi!$D148:$ND148,"C",Absensi!$D$2:$ND$2,L$6)</f>
        <v>0</v>
      </c>
      <c r="M150">
        <f>COUNTIFS(Absensi!$D148:$ND148,"C",Absensi!$D$2:$ND$2,M$6)</f>
        <v>0</v>
      </c>
      <c r="N150">
        <f>COUNTIFS(Absensi!$D148:$ND148,"C",Absensi!$D$2:$ND$2,N$6)</f>
        <v>0</v>
      </c>
      <c r="O150">
        <f>COUNTIFS(Absensi!$D148:$ND148,"C",Absensi!$D$2:$ND$2,O$6)</f>
        <v>0</v>
      </c>
      <c r="P150">
        <f>COUNTIFS(Absensi!$D148:$ND148,"C",Absensi!$D$2:$ND$2,P$6)</f>
        <v>0</v>
      </c>
      <c r="Q150">
        <f>COUNTIFS(Absensi!$D148:$ND148,"CS",Absensi!$D$2:$ND$2,Q$6)</f>
        <v>0</v>
      </c>
      <c r="R150">
        <f>COUNTIFS(Absensi!$D148:$ND148,"CS",Absensi!$D$2:$ND$2,R$6)</f>
        <v>0</v>
      </c>
      <c r="S150">
        <f>COUNTIFS(Absensi!$D148:$ND148,"CS",Absensi!$D$2:$ND$2,S$6)</f>
        <v>0</v>
      </c>
      <c r="T150">
        <f>COUNTIFS(Absensi!$D148:$ND148,"CS",Absensi!$D$2:$ND$2,T$6)</f>
        <v>0</v>
      </c>
      <c r="U150">
        <f>COUNTIFS(Absensi!$D148:$ND148,"CS",Absensi!$D$2:$ND$2,U$6)</f>
        <v>0</v>
      </c>
      <c r="V150">
        <f>COUNTIFS(Absensi!$D148:$ND148,"CS",Absensi!$D$2:$ND$2,V$6)</f>
        <v>0</v>
      </c>
      <c r="W150">
        <f>COUNTIFS(Absensi!$D148:$ND148,"CS",Absensi!$D$2:$ND$2,W$6)</f>
        <v>0</v>
      </c>
      <c r="X150">
        <f>COUNTIFS(Absensi!$D148:$ND148,"CS",Absensi!$D$2:$ND$2,X$6)</f>
        <v>0</v>
      </c>
      <c r="Y150">
        <f>COUNTIFS(Absensi!$D148:$ND148,"CS",Absensi!$D$2:$ND$2,Y$6)</f>
        <v>0</v>
      </c>
      <c r="Z150">
        <f>COUNTIFS(Absensi!$D148:$ND148,"CS",Absensi!$D$2:$ND$2,Z$6)</f>
        <v>0</v>
      </c>
      <c r="AA150">
        <f>COUNTIFS(Absensi!$D148:$ND148,"CS",Absensi!$D$2:$ND$2,AA$6)</f>
        <v>0</v>
      </c>
      <c r="AB150">
        <f>COUNTIFS(Absensi!$D148:$ND148,"CS",Absensi!$D$2:$ND$2,AB$6)</f>
        <v>0</v>
      </c>
      <c r="AC150">
        <f t="shared" si="27"/>
        <v>12</v>
      </c>
      <c r="AD150">
        <f t="shared" si="28"/>
        <v>12</v>
      </c>
      <c r="AE150">
        <f t="shared" si="29"/>
        <v>12</v>
      </c>
      <c r="AF150">
        <f t="shared" si="30"/>
        <v>12</v>
      </c>
      <c r="AG150">
        <f t="shared" si="31"/>
        <v>12</v>
      </c>
      <c r="AH150">
        <f t="shared" si="32"/>
        <v>12</v>
      </c>
      <c r="AI150">
        <f t="shared" si="33"/>
        <v>12</v>
      </c>
      <c r="AJ150">
        <f t="shared" si="34"/>
        <v>12</v>
      </c>
      <c r="AK150">
        <f t="shared" si="35"/>
        <v>12</v>
      </c>
      <c r="AL150">
        <f t="shared" si="36"/>
        <v>12</v>
      </c>
      <c r="AM150">
        <f t="shared" si="37"/>
        <v>12</v>
      </c>
      <c r="AN150">
        <f t="shared" si="38"/>
        <v>12</v>
      </c>
    </row>
    <row r="151" spans="1:40" x14ac:dyDescent="0.25">
      <c r="A151" s="26"/>
      <c r="B151" s="27"/>
      <c r="C151" s="27"/>
      <c r="D151" s="46"/>
    </row>
    <row r="152" spans="1:40" x14ac:dyDescent="0.25">
      <c r="A152" s="26"/>
      <c r="B152" s="27"/>
      <c r="C152" s="27"/>
      <c r="D152" s="46"/>
    </row>
    <row r="153" spans="1:40" x14ac:dyDescent="0.25">
      <c r="A153" s="26"/>
      <c r="B153" s="27"/>
      <c r="C153" s="27"/>
      <c r="D153" s="46"/>
    </row>
    <row r="154" spans="1:40" x14ac:dyDescent="0.25">
      <c r="A154" s="26"/>
      <c r="B154" s="27"/>
      <c r="C154" s="27"/>
      <c r="D154" s="46"/>
    </row>
    <row r="155" spans="1:40" x14ac:dyDescent="0.25">
      <c r="A155" s="26"/>
      <c r="B155" s="27"/>
      <c r="C155" s="27"/>
      <c r="D155" s="46"/>
    </row>
    <row r="156" spans="1:40" x14ac:dyDescent="0.25">
      <c r="A156" s="26"/>
      <c r="B156" s="27"/>
      <c r="C156" s="27"/>
      <c r="D156" s="46"/>
    </row>
    <row r="157" spans="1:40" x14ac:dyDescent="0.25">
      <c r="A157" s="26"/>
      <c r="B157" s="27"/>
      <c r="C157" s="27"/>
      <c r="D157" s="46"/>
    </row>
    <row r="158" spans="1:40" x14ac:dyDescent="0.25">
      <c r="A158" s="26"/>
      <c r="B158" s="27"/>
      <c r="C158" s="27"/>
      <c r="D158" s="46"/>
    </row>
    <row r="159" spans="1:40" x14ac:dyDescent="0.25">
      <c r="A159" s="26"/>
      <c r="B159" s="27"/>
      <c r="C159" s="27"/>
      <c r="D159" s="46"/>
    </row>
    <row r="160" spans="1:40" x14ac:dyDescent="0.25">
      <c r="A160" s="26"/>
      <c r="B160" s="27"/>
      <c r="C160" s="27"/>
      <c r="D160" s="46"/>
    </row>
    <row r="161" spans="1:40" x14ac:dyDescent="0.25">
      <c r="A161" s="26"/>
      <c r="B161" s="27"/>
      <c r="C161" s="27"/>
      <c r="D161" s="46"/>
    </row>
    <row r="162" spans="1:40" x14ac:dyDescent="0.25">
      <c r="A162" s="26"/>
      <c r="B162" s="27"/>
      <c r="C162" s="27"/>
      <c r="D162" s="46"/>
    </row>
    <row r="163" spans="1:40" x14ac:dyDescent="0.25">
      <c r="A163" s="26"/>
      <c r="B163" s="27"/>
      <c r="C163" s="27"/>
      <c r="D163" s="46"/>
    </row>
    <row r="164" spans="1:40" x14ac:dyDescent="0.25">
      <c r="A164" s="26"/>
      <c r="B164" s="27"/>
      <c r="C164" s="27"/>
      <c r="D164" s="46"/>
    </row>
    <row r="165" spans="1:40" x14ac:dyDescent="0.25">
      <c r="A165" s="26" t="s">
        <v>14</v>
      </c>
      <c r="B165" s="27"/>
      <c r="C165" s="27"/>
      <c r="D165" s="46"/>
      <c r="Q165">
        <f>COUNTIFS(Absensi!$D149:$ND149,"CS",Absensi!$D$2:$ND$2,Q$6)</f>
        <v>0</v>
      </c>
      <c r="R165">
        <f>COUNTIFS(Absensi!$D149:$ND149,"CS",Absensi!$D$2:$ND$2,R$6)</f>
        <v>0</v>
      </c>
      <c r="S165">
        <f>COUNTIFS(Absensi!$D149:$ND149,"CS",Absensi!$D$2:$ND$2,S$6)</f>
        <v>0</v>
      </c>
      <c r="T165">
        <f>COUNTIFS(Absensi!$D149:$ND149,"CS",Absensi!$D$2:$ND$2,T$6)</f>
        <v>0</v>
      </c>
      <c r="U165">
        <f>COUNTIFS(Absensi!$D149:$ND149,"CS",Absensi!$D$2:$ND$2,U$6)</f>
        <v>0</v>
      </c>
      <c r="V165">
        <f>COUNTIFS(Absensi!$D149:$ND149,"CS",Absensi!$D$2:$ND$2,V$6)</f>
        <v>0</v>
      </c>
      <c r="W165">
        <f>COUNTIFS(Absensi!$D149:$ND149,"CS",Absensi!$D$2:$ND$2,W$6)</f>
        <v>0</v>
      </c>
      <c r="X165">
        <f>COUNTIFS(Absensi!$D149:$ND149,"CS",Absensi!$D$2:$ND$2,X$6)</f>
        <v>0</v>
      </c>
      <c r="Y165">
        <f>COUNTIFS(Absensi!$D149:$ND149,"CS",Absensi!$D$2:$ND$2,Y$6)</f>
        <v>0</v>
      </c>
      <c r="Z165">
        <f>COUNTIFS(Absensi!$D149:$ND149,"CS",Absensi!$D$2:$ND$2,Z$6)</f>
        <v>0</v>
      </c>
      <c r="AA165">
        <f>COUNTIFS(Absensi!$D149:$ND149,"CS",Absensi!$D$2:$ND$2,AA$6)</f>
        <v>0</v>
      </c>
      <c r="AB165">
        <f>COUNTIFS(Absensi!$D149:$ND149,"CS",Absensi!$D$2:$ND$2,AB$6)</f>
        <v>0</v>
      </c>
      <c r="AC165">
        <f t="shared" ref="AC165" si="40">12-E165-Q165*0.5</f>
        <v>12</v>
      </c>
      <c r="AD165">
        <f t="shared" ref="AD165" si="41">AC165-F165-R165*0.5</f>
        <v>12</v>
      </c>
      <c r="AE165">
        <f t="shared" ref="AE165" si="42">AD165-G165-S165*0.5</f>
        <v>12</v>
      </c>
      <c r="AF165">
        <f t="shared" ref="AF165" si="43">AE165-H165-T165*0.5</f>
        <v>12</v>
      </c>
      <c r="AG165">
        <f t="shared" ref="AG165" si="44">AF165-I165-U165*0.5</f>
        <v>12</v>
      </c>
      <c r="AH165">
        <f t="shared" ref="AH165" si="45">AG165-J165-V165*0.5</f>
        <v>12</v>
      </c>
      <c r="AI165">
        <f t="shared" ref="AI165" si="46">AH165-K165-W165*0.5</f>
        <v>12</v>
      </c>
      <c r="AJ165">
        <f t="shared" ref="AJ165" si="47">AI165-L165-X165*0.5</f>
        <v>12</v>
      </c>
      <c r="AK165">
        <f t="shared" ref="AK165" si="48">AJ165-M165-Y165*0.5</f>
        <v>12</v>
      </c>
      <c r="AL165">
        <f t="shared" ref="AL165" si="49">AK165-N165-Z165*0.5</f>
        <v>12</v>
      </c>
      <c r="AM165">
        <f t="shared" ref="AM165" si="50">AL165-O165-AA165*0.5</f>
        <v>12</v>
      </c>
      <c r="AN165">
        <f t="shared" ref="AN165" si="51">AM165-P165-AB165*0.5</f>
        <v>12</v>
      </c>
    </row>
  </sheetData>
  <mergeCells count="3">
    <mergeCell ref="A5:A6"/>
    <mergeCell ref="B5:B6"/>
    <mergeCell ref="C5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Absensi</vt:lpstr>
      <vt:lpstr>Rekap</vt:lpstr>
      <vt:lpstr>Setting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Suci</cp:lastModifiedBy>
  <dcterms:created xsi:type="dcterms:W3CDTF">2025-08-23T01:23:00Z</dcterms:created>
  <dcterms:modified xsi:type="dcterms:W3CDTF">2026-09-29T01:10:43Z</dcterms:modified>
</cp:coreProperties>
</file>